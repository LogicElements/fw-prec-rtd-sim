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evzen\OneDrive\Dokumenty\RTD_repo\Documents\"/>
    </mc:Choice>
  </mc:AlternateContent>
  <xr:revisionPtr revIDLastSave="0" documentId="13_ncr:1_{1CFA6C2A-270C-4482-A93B-89D7E504B30D}" xr6:coauthVersionLast="47" xr6:coauthVersionMax="47" xr10:uidLastSave="{00000000-0000-0000-0000-000000000000}"/>
  <bookViews>
    <workbookView xWindow="-120" yWindow="-120" windowWidth="29040" windowHeight="15720" xr2:uid="{00000000-000D-0000-FFFF-FFFF00000000}"/>
  </bookViews>
  <sheets>
    <sheet name="Registers" sheetId="25" r:id="rId1"/>
    <sheet name="Common" sheetId="16"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5" i="25" l="1"/>
  <c r="I78" i="25"/>
  <c r="I79" i="25" s="1"/>
  <c r="L78" i="25"/>
  <c r="L81" i="25"/>
  <c r="L82" i="25"/>
  <c r="L83" i="25"/>
  <c r="L85" i="25"/>
  <c r="K78" i="25"/>
  <c r="I66" i="25"/>
  <c r="K66" i="25" s="1"/>
  <c r="K79" i="25" l="1"/>
  <c r="I80" i="25"/>
  <c r="I81" i="25" s="1"/>
  <c r="I82" i="25" s="1"/>
  <c r="I83" i="25" s="1"/>
  <c r="K85" i="25" s="1"/>
  <c r="K80" i="25"/>
  <c r="I67" i="25"/>
  <c r="I68" i="25" s="1"/>
  <c r="I69" i="25" s="1"/>
  <c r="I70" i="25" s="1"/>
  <c r="I71" i="25" s="1"/>
  <c r="I72" i="25" s="1"/>
  <c r="I73" i="25" s="1"/>
  <c r="I74" i="25" s="1"/>
  <c r="I75" i="25" s="1"/>
  <c r="I76" i="25" s="1"/>
  <c r="I77" i="25" s="1"/>
  <c r="L70" i="25"/>
  <c r="F7" i="25"/>
  <c r="K81" i="25" l="1"/>
  <c r="L66" i="25"/>
  <c r="L73" i="25"/>
  <c r="L74" i="25"/>
  <c r="L77" i="25"/>
  <c r="L76" i="25"/>
  <c r="L75" i="25"/>
  <c r="L60" i="25"/>
  <c r="L59" i="25"/>
  <c r="L58" i="25"/>
  <c r="L57" i="25"/>
  <c r="L54" i="25"/>
  <c r="L50" i="25"/>
  <c r="L44" i="25"/>
  <c r="I44" i="25"/>
  <c r="I45" i="25" s="1"/>
  <c r="I46" i="25" s="1"/>
  <c r="I47" i="25" s="1"/>
  <c r="I48" i="25" s="1"/>
  <c r="I49" i="25" s="1"/>
  <c r="I50" i="25" s="1"/>
  <c r="I51" i="25" s="1"/>
  <c r="I52" i="25" s="1"/>
  <c r="I53" i="25" s="1"/>
  <c r="I54" i="25" s="1"/>
  <c r="I55" i="25" s="1"/>
  <c r="I56" i="25" s="1"/>
  <c r="I57" i="25" s="1"/>
  <c r="I58" i="25" s="1"/>
  <c r="I59" i="25" s="1"/>
  <c r="I60" i="25" s="1"/>
  <c r="K60" i="25" s="1"/>
  <c r="L29" i="25"/>
  <c r="F12" i="25"/>
  <c r="F8" i="25"/>
  <c r="K82" i="25" l="1"/>
  <c r="K67" i="25"/>
  <c r="K44" i="25"/>
  <c r="K56" i="25"/>
  <c r="K53" i="25"/>
  <c r="K49" i="25"/>
  <c r="K57" i="25"/>
  <c r="K48" i="25"/>
  <c r="K58" i="25"/>
  <c r="K50" i="25"/>
  <c r="K55" i="25"/>
  <c r="K47" i="25"/>
  <c r="K54" i="25"/>
  <c r="K46" i="25"/>
  <c r="K45" i="25"/>
  <c r="K52" i="25"/>
  <c r="K59" i="25"/>
  <c r="K51" i="25"/>
  <c r="L41" i="25"/>
  <c r="L40" i="25"/>
  <c r="L39" i="25"/>
  <c r="L38" i="25"/>
  <c r="L36" i="25"/>
  <c r="L35" i="25"/>
  <c r="L34" i="25"/>
  <c r="L33" i="25"/>
  <c r="L28" i="25"/>
  <c r="L27" i="25"/>
  <c r="L20" i="25"/>
  <c r="L19" i="25"/>
  <c r="L18" i="25"/>
  <c r="K38" i="25"/>
  <c r="K33" i="25"/>
  <c r="K83" i="25" l="1"/>
  <c r="K68" i="25"/>
  <c r="I39" i="25"/>
  <c r="K69" i="25" l="1"/>
  <c r="I40" i="25"/>
  <c r="K39" i="25"/>
  <c r="K70" i="25" l="1"/>
  <c r="I41" i="25"/>
  <c r="K41" i="25" s="1"/>
  <c r="K40" i="25"/>
  <c r="K71" i="25" l="1"/>
  <c r="I18" i="25"/>
  <c r="K72" i="25" l="1"/>
  <c r="K18" i="25"/>
  <c r="I19" i="25"/>
  <c r="I20" i="25" s="1"/>
  <c r="I21" i="25" s="1"/>
  <c r="K73" i="25" l="1"/>
  <c r="I22" i="25"/>
  <c r="K21" i="25"/>
  <c r="K19" i="25"/>
  <c r="I34" i="25"/>
  <c r="K34" i="25" s="1"/>
  <c r="K74" i="25" l="1"/>
  <c r="I23" i="25"/>
  <c r="K22" i="25"/>
  <c r="K20" i="25"/>
  <c r="I35" i="25"/>
  <c r="K75" i="25" l="1"/>
  <c r="K23" i="25"/>
  <c r="I24" i="25"/>
  <c r="K24" i="25" s="1"/>
  <c r="I25" i="25"/>
  <c r="I36" i="25"/>
  <c r="K36" i="25" s="1"/>
  <c r="K35" i="25"/>
  <c r="K77" i="25" l="1"/>
  <c r="K76" i="25"/>
  <c r="I26" i="25"/>
  <c r="K25" i="25"/>
  <c r="I27" i="25" l="1"/>
  <c r="K26" i="25"/>
  <c r="I28" i="25" l="1"/>
  <c r="K27" i="25"/>
  <c r="I29" i="25" l="1"/>
  <c r="K29" i="25" s="1"/>
  <c r="K28" i="25"/>
</calcChain>
</file>

<file path=xl/sharedStrings.xml><?xml version="1.0" encoding="utf-8"?>
<sst xmlns="http://schemas.openxmlformats.org/spreadsheetml/2006/main" count="481" uniqueCount="314">
  <si>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</si>
  <si>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</si>
  <si>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</si>
  <si>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</si>
  <si>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</si>
  <si>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</si>
  <si>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</si>
  <si>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</si>
  <si>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</si>
  <si>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</si>
  <si>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</si>
  <si>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</si>
  <si>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</si>
  <si>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</si>
  <si>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</si>
  <si>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</si>
  <si>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</si>
  <si>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</si>
  <si>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</si>
  <si>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</si>
  <si>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</si>
  <si>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</si>
  <si>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</si>
  <si>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</si>
  <si>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</si>
  <si>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</si>
  <si>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</si>
  <si>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</si>
  <si>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</si>
  <si>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</si>
  <si>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</si>
  <si>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</si>
  <si>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</si>
  <si>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</si>
  <si>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</si>
  <si>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</si>
  <si>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APP_CHECKSUM</t>
  </si>
  <si>
    <t>APP_SIZE</t>
  </si>
  <si>
    <t>Block ID</t>
  </si>
  <si>
    <t>Data Type</t>
  </si>
  <si>
    <t>8-15</t>
  </si>
  <si>
    <t>ERROR</t>
  </si>
  <si>
    <t>CRC checksum of the current application</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</si>
  <si>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</si>
  <si>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</si>
  <si>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</si>
  <si>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</si>
  <si>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</si>
  <si>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</si>
  <si>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</si>
  <si>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</si>
  <si>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</si>
  <si>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</si>
  <si>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</si>
  <si>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</si>
  <si>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</si>
  <si>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</si>
  <si>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</si>
  <si>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</si>
  <si>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</si>
  <si>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</si>
  <si>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</si>
  <si>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</si>
  <si>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</si>
  <si>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</si>
  <si>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</si>
  <si>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</si>
  <si>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</si>
  <si>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</si>
  <si>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</si>
  <si>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</si>
  <si>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</si>
  <si>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</si>
  <si>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</si>
  <si>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</si>
  <si>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</si>
  <si>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</si>
  <si>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</si>
  <si>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</si>
  <si>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</si>
  <si>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</si>
  <si>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</si>
  <si>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</si>
  <si>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</si>
  <si>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</si>
  <si>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</si>
  <si>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</si>
  <si>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</si>
  <si>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</si>
  <si>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</si>
  <si>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</si>
  <si>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</si>
  <si>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</si>
  <si>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</si>
  <si>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</si>
  <si>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</si>
  <si>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</si>
  <si>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</si>
  <si>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</si>
  <si>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</si>
  <si>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</si>
  <si>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</si>
  <si>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</si>
  <si>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</si>
  <si>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</si>
  <si>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</si>
  <si>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</si>
  <si>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</si>
  <si>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</si>
  <si>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</si>
  <si>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</si>
  <si>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</si>
  <si>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</si>
  <si>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</si>
  <si>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</si>
  <si>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</si>
  <si>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</si>
  <si>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</si>
  <si>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</si>
  <si>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</si>
  <si>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</si>
  <si>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</si>
  <si>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</si>
  <si>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</si>
  <si>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</si>
  <si>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</si>
  <si>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</si>
  <si>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</si>
  <si>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</si>
  <si>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Firmware size of the current application in bytes</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</si>
  <si>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</si>
  <si>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</si>
  <si>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</si>
  <si>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</si>
  <si>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</si>
  <si>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</si>
  <si>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</si>
  <si>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</si>
  <si>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</si>
  <si>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</si>
  <si>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CRC checksum</t>
  </si>
  <si>
    <t>Firmware size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</si>
  <si>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</si>
  <si>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</si>
  <si>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</si>
  <si>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</si>
  <si>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</si>
  <si>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</si>
  <si>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</si>
  <si>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</si>
  <si>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</si>
  <si>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</si>
  <si>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</si>
  <si>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</si>
  <si>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</si>
  <si>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</si>
  <si>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</si>
  <si>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</si>
  <si>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</si>
  <si>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</si>
  <si>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</si>
  <si>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</si>
  <si>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</si>
  <si>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</si>
  <si>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</si>
  <si>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</si>
  <si>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</si>
  <si>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</si>
  <si>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</si>
  <si>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</si>
  <si>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</si>
  <si>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</si>
  <si>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</si>
  <si>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</si>
  <si>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</si>
  <si>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</si>
  <si>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</si>
  <si>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</si>
  <si>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</si>
  <si>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</si>
  <si>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</si>
  <si>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</si>
  <si>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D:\work\gitlab\fw-prec-rtd-sim\Documents\txts\PrecRtdSim_Registers.json</t>
  </si>
  <si>
    <t>CALIB</t>
  </si>
  <si>
    <t>CALIBRATION</t>
  </si>
  <si>
    <t>COM</t>
  </si>
  <si>
    <t>COMMUNICATION</t>
  </si>
  <si>
    <t>Modbus communication parameters</t>
  </si>
  <si>
    <t>Calibration data and handling</t>
  </si>
  <si>
    <t>RTD</t>
  </si>
  <si>
    <t>RTD_SIMULATOR</t>
  </si>
  <si>
    <t>RTD simulation registers</t>
  </si>
  <si>
    <t>STAT_BIT_MB_TIMEOUT</t>
  </si>
  <si>
    <t>Modbus timeout</t>
  </si>
  <si>
    <t>No modbus communication for timeout period</t>
  </si>
  <si>
    <t>IO_INPUT</t>
  </si>
  <si>
    <t>Input signals</t>
  </si>
  <si>
    <t>0x3FF</t>
  </si>
  <si>
    <t>Set of input signals. 
Bits 0-4 - Modbus address offset
Bits 5-8 - Bootstrap
Bit 9 - Pushbutton</t>
  </si>
  <si>
    <t>MB_BAUD_RATE</t>
  </si>
  <si>
    <t>Modbus baud rate</t>
  </si>
  <si>
    <t>Modbus RTU serial port baud rate</t>
  </si>
  <si>
    <t>MB_BAUD_9600</t>
  </si>
  <si>
    <t>9600 baud/s</t>
  </si>
  <si>
    <t>MB_BAUD_19200</t>
  </si>
  <si>
    <t>19200 baud/s</t>
  </si>
  <si>
    <t>MB_BAUD_38400</t>
  </si>
  <si>
    <t>38400 baud/s</t>
  </si>
  <si>
    <t>MB_BAUD_57600</t>
  </si>
  <si>
    <t>57600 baud/s</t>
  </si>
  <si>
    <t>MB_BAUD_115200</t>
  </si>
  <si>
    <t>115200 baud/s</t>
  </si>
  <si>
    <t>MB_PARITY</t>
  </si>
  <si>
    <t>Modbus parity</t>
  </si>
  <si>
    <t>Modbus RTU serial port parity</t>
  </si>
  <si>
    <t>MB_PARITY_NONE</t>
  </si>
  <si>
    <t>NONE</t>
  </si>
  <si>
    <t>NONE parity</t>
  </si>
  <si>
    <t>MB_PARITY_EVEN</t>
  </si>
  <si>
    <t>EVEN</t>
  </si>
  <si>
    <t>EVEN parity</t>
  </si>
  <si>
    <t>MB_PARITY_ODD</t>
  </si>
  <si>
    <t>ODD</t>
  </si>
  <si>
    <t>ODD parity</t>
  </si>
  <si>
    <t>MB_STOP_BITS</t>
  </si>
  <si>
    <t>Modbus stop bits</t>
  </si>
  <si>
    <t>Modbus RTU serial port - number of stop bits</t>
  </si>
  <si>
    <t>MB_STOP_1</t>
  </si>
  <si>
    <t>1 stop bit</t>
  </si>
  <si>
    <t>MB_STOP_2</t>
  </si>
  <si>
    <t>2 stop bits</t>
  </si>
  <si>
    <t>RESERVED</t>
  </si>
  <si>
    <t>x</t>
  </si>
  <si>
    <t>MB_ADDRESS</t>
  </si>
  <si>
    <t>Modbus slave address</t>
  </si>
  <si>
    <t>Modbus RTU serial port slave address</t>
  </si>
  <si>
    <t>MB_APPLY</t>
  </si>
  <si>
    <t>Apply modbus parameters</t>
  </si>
  <si>
    <t>Apply new modbus communication parameters.
Value 1 - Apply new settings</t>
  </si>
  <si>
    <t>MB_TIMEOUT</t>
  </si>
  <si>
    <t>Longer silent period implies connection lost.
Zero value disables timeout indication.</t>
  </si>
  <si>
    <t>WRITES_CONF</t>
  </si>
  <si>
    <t>DBG</t>
  </si>
  <si>
    <t>Configuration writes</t>
  </si>
  <si>
    <t>writes</t>
  </si>
  <si>
    <t>Number of writes into internal configuration flash memory (size 4kB, entry 128 B, total endurance 10000 * 4096 / 128 = 320000)</t>
  </si>
  <si>
    <t>MODE</t>
  </si>
  <si>
    <t>°C</t>
  </si>
  <si>
    <t>F32</t>
  </si>
  <si>
    <t>Ohm</t>
  </si>
  <si>
    <t>NTC_BETA</t>
  </si>
  <si>
    <t>NTC beta</t>
  </si>
  <si>
    <t>NTC beta coefficient for computation</t>
  </si>
  <si>
    <t>NTC_STOCK_RES</t>
  </si>
  <si>
    <t>NTC stock resistance</t>
  </si>
  <si>
    <t>NTC stock resistance at 25 °C (10000 for common 10k NTC)</t>
  </si>
  <si>
    <t>PT_STOCK_RES</t>
  </si>
  <si>
    <t>Platinum stock resistance</t>
  </si>
  <si>
    <t>Platinum stock resistance at 0 °C
Value 100 - PT100
Value 500 - PT500
Value 1000 - PT1000</t>
  </si>
  <si>
    <t>Resistance that should be set at RTD port 1</t>
  </si>
  <si>
    <t>Set temperature for RTD port 1</t>
  </si>
  <si>
    <t>Emulation mode</t>
  </si>
  <si>
    <t>HA 100</t>
  </si>
  <si>
    <t>Mode of RTD emulation. Selected mode is common for all 4 channels</t>
  </si>
  <si>
    <t>Direct resistance</t>
  </si>
  <si>
    <t>Set resistance is directly applied to RTD ports</t>
  </si>
  <si>
    <t>NTC thermistor</t>
  </si>
  <si>
    <t>Set temperature is used for NTC resistance computation</t>
  </si>
  <si>
    <t>Platinum RTD</t>
  </si>
  <si>
    <t>Set temperature is used for PT1000 resistance computation</t>
  </si>
  <si>
    <t>RESISTANCE</t>
  </si>
  <si>
    <t>TEMPERATURE</t>
  </si>
  <si>
    <t>Set resistance</t>
  </si>
  <si>
    <t>Temperature</t>
  </si>
  <si>
    <t>RTD_MD_RESISTANCE</t>
  </si>
  <si>
    <t>RTD_MD_NTC</t>
  </si>
  <si>
    <t>RTD_MD_PLATINUM</t>
  </si>
  <si>
    <t>C:\Users\evzen\OneDrive\Dokumenty\RTD_repo\Documents\txts\PrecRtdSim_Define.txt</t>
  </si>
  <si>
    <t>C:\Users\evzen\OneDrive\Dokumenty\RTD_repo\Documents\txts\PrecRtdSim_Storage.txt</t>
  </si>
  <si>
    <t>C:\Users\evzen\OneDrive\Dokumenty\RTD_repo\Documents\txts\PrecRtdSim_Factory.txt</t>
  </si>
  <si>
    <t>C:\Users\evzen\OneDrive\Dokumenty\RTD_repo\Documents\txts\reg_map.c</t>
  </si>
  <si>
    <t>C:\Users\evzen\OneDrive\Dokumenty\RTD_repo\Documents\txts\PrecRtdSim_Modbus.json</t>
  </si>
  <si>
    <t>C:\Users\evzen\OneDrive\Dokumenty\RTD_repo\Documents\txts\PrecRtdSimRegs.py</t>
  </si>
  <si>
    <t>C:\Users\evzen\OneDrive\Dokumenty\RTD_repo\Documents\txts\PrecRtdSim_registers.json</t>
  </si>
  <si>
    <t>C:\Users\evzen\OneDrive\Dokumenty\RTD_repo\Tests\prec-rtd-sim\</t>
  </si>
  <si>
    <t>C:\Users\evzen\OneDrive\Dokumenty\RTD_repo\Firmware\PrecRtdSim-APP\Core\Serial\</t>
  </si>
  <si>
    <t>Temperature calibration</t>
  </si>
  <si>
    <t>RTD_CALIB_ON</t>
  </si>
  <si>
    <t>RTD_CALIB_OFF</t>
  </si>
  <si>
    <t>Calibration off</t>
  </si>
  <si>
    <t>Calibration on</t>
  </si>
  <si>
    <t>Calculate switch positions of resistors decade without temperature correction</t>
  </si>
  <si>
    <t>Calculate switch positions of resistors decade with temperature correction</t>
  </si>
  <si>
    <t>TEMP_CORRECTION</t>
  </si>
  <si>
    <t>Temperature corection mode - recalculates decade resistance values ​​based on current temperature</t>
  </si>
  <si>
    <t>SLEWRATE</t>
  </si>
  <si>
    <t>SLEWRATE_MAX</t>
  </si>
  <si>
    <t>SLEWRATE_MIN</t>
  </si>
  <si>
    <t>SLEWRATE_MODE</t>
  </si>
  <si>
    <t>RTD_SLEWRATE_OFF</t>
  </si>
  <si>
    <t>RTD_SLEWRATE_ON</t>
  </si>
  <si>
    <t>Temp slew rate mode</t>
  </si>
  <si>
    <t>Slew rate off</t>
  </si>
  <si>
    <t>Slew rate on</t>
  </si>
  <si>
    <t>°C/s</t>
  </si>
  <si>
    <t>Temperature slew rate mode ON</t>
  </si>
  <si>
    <t>Temperature slew rate mode OFF</t>
  </si>
  <si>
    <t>Temperature slew rate in °C/s</t>
  </si>
  <si>
    <t xml:space="preserve">Temperature slew rate </t>
  </si>
  <si>
    <t>Temperature slew rate MODE</t>
  </si>
  <si>
    <t>Maximum temperature in SR mode</t>
  </si>
  <si>
    <t>Min temperature in SR mode</t>
  </si>
  <si>
    <t>Max temperature in SR mode</t>
  </si>
  <si>
    <t>Minimum temperature in SR mode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</si>
</sst>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8">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3" fillId="0" borderId="0" xfId="0" applyFont="1" applyAlignment="1">
      <alignment horizontal="center" vertical="top"/>
    </xf>
    <xf numFmtId="0" fontId="3" fillId="0" borderId="0" xfId="0" applyFont="1" applyAlignment="1">
      <alignment horizontal="center"/>
    </xf>
    <xf numFmtId="0" fontId="0" fillId="0" borderId="0" xfId="0" applyAlignment="1">
      <alignment horizontal="left" vertical="top" wrapText="1"/>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3" fillId="0" borderId="0" xfId="0" applyFont="1" applyAlignment="1">
      <alignment vertical="center" wrapText="1"/>
    </xf>
    <xf numFmtId="49" fontId="0" fillId="0" borderId="0" xfId="0" applyNumberFormat="1"/>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2" fillId="2" borderId="0" xfId="0" applyFont="1" applyFill="1" applyAlignment="1">
      <alignment horizontal="left"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9</xdr:col>
          <xdr:colOff>1295400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9</xdr:col>
          <xdr:colOff>1304925</xdr:colOff>
          <xdr:row>3</xdr:row>
          <xdr:rowOff>28575</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7</xdr:row>
          <xdr:rowOff>9525</xdr:rowOff>
        </xdr:from>
        <xdr:to>
          <xdr:col>9</xdr:col>
          <xdr:colOff>1304925</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9</xdr:row>
          <xdr:rowOff>9525</xdr:rowOff>
        </xdr:from>
        <xdr:to>
          <xdr:col>9</xdr:col>
          <xdr:colOff>1304925</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42"/>
  <sheetViews>
    <sheetView tabSelected="1" topLeftCell="A5" zoomScale="95" zoomScaleNormal="100" workbookViewId="0">
      <selection activeCell="F5" sqref="F5"/>
    </sheetView>
  </sheetViews>
  <sheetFormatPr defaultColWidth="9.140625" defaultRowHeight="15" x14ac:dyDescent="0.25"/>
  <cols>
    <col min="1" max="1" width="2.28515625" style="12" customWidth="1"/>
    <col min="2" max="3" width="2.140625" style="12" customWidth="1"/>
    <col min="4" max="4" width="1.5703125" style="12" customWidth="1"/>
    <col min="5" max="5" width="19.5703125" style="12" customWidth="1"/>
    <col min="6" max="6" width="112.5703125" style="10" customWidth="1"/>
    <col min="7" max="7" width="6.85546875" style="10" customWidth="1"/>
    <col min="8" max="8" width="5.42578125" style="10" customWidth="1"/>
    <col min="9" max="9" width="8.42578125" style="10" customWidth="1"/>
    <col min="10" max="10" width="21.28515625" style="10" customWidth="1"/>
    <col min="11" max="11" width="14.42578125" style="12" customWidth="1"/>
    <col min="12" max="12" width="26.7109375" style="10" customWidth="1"/>
    <col min="13" max="13" width="23.85546875" style="12" customWidth="1"/>
    <col min="14" max="14" width="9.140625" style="10" customWidth="1"/>
    <col min="15" max="15" width="9.42578125" style="10" customWidth="1"/>
    <col min="16" max="16" width="9.7109375" style="10" customWidth="1"/>
    <col min="17" max="17" width="6.140625" style="10" customWidth="1"/>
    <col min="18" max="18" width="7" style="10" bestFit="1" customWidth="1"/>
    <col min="19" max="19" width="3.5703125" style="10" customWidth="1"/>
    <col min="20" max="20" width="61.42578125" style="12" customWidth="1"/>
    <col min="21" max="16384" width="9.140625" style="12"/>
  </cols>
  <sheetData>
    <row r="3" spans="1:26" ht="21.75" customHeight="1" x14ac:dyDescent="0.25">
      <c r="J3" s="3" t="s">
        <v>1</v>
      </c>
      <c r="K3" s="9" t="s">
        <v>144</v>
      </c>
      <c r="L3" s="8" t="s">
        <v>280</v>
      </c>
      <c r="T3" s="31"/>
    </row>
    <row r="4" spans="1:26" ht="24.95" customHeight="1" x14ac:dyDescent="0.25">
      <c r="D4" s="31" t="s">
        <v>18</v>
      </c>
      <c r="E4" s="31"/>
      <c r="F4" s="31" t="s">
        <v>113</v>
      </c>
      <c r="J4" s="3" t="s">
        <v>1</v>
      </c>
      <c r="K4" s="9" t="s">
        <v>5</v>
      </c>
      <c r="L4" s="8" t="s">
        <v>277</v>
      </c>
      <c r="M4" s="11"/>
      <c r="U4" s="12" t="s">
        <v>1</v>
      </c>
      <c r="Z4" s="10"/>
    </row>
    <row r="5" spans="1:26" ht="24.95" customHeight="1" x14ac:dyDescent="0.25">
      <c r="D5" s="31" t="s">
        <v>19</v>
      </c>
      <c r="E5" s="31"/>
      <c r="F5" s="31" t="s">
        <v>20</v>
      </c>
      <c r="J5" s="3" t="s">
        <v>1</v>
      </c>
      <c r="K5" s="9" t="s">
        <v>100</v>
      </c>
      <c r="L5" s="8" t="s">
        <v>182</v>
      </c>
      <c r="M5" s="11"/>
      <c r="U5" s="12" t="s">
        <v>1</v>
      </c>
      <c r="Z5" s="10"/>
    </row>
    <row r="6" spans="1:26" ht="24.95" customHeight="1" x14ac:dyDescent="0.25">
      <c r="D6" s="31" t="s">
        <v>63</v>
      </c>
      <c r="E6" s="13"/>
      <c r="F6" s="32">
        <v>1</v>
      </c>
      <c r="J6" s="3" t="s">
        <v>1</v>
      </c>
      <c r="K6" s="9" t="s">
        <v>17</v>
      </c>
      <c r="L6" s="8" t="s">
        <v>278</v>
      </c>
      <c r="M6" s="11"/>
      <c r="U6" s="12" t="s">
        <v>1</v>
      </c>
      <c r="Z6" s="10"/>
    </row>
    <row r="7" spans="1:26" ht="24.95" customHeight="1" x14ac:dyDescent="0.25">
      <c r="D7" s="31" t="s">
        <v>143</v>
      </c>
      <c r="E7" s="13"/>
      <c r="F7" s="31" t="str">
        <f>GetWorkName()</f>
        <v>PrecRtdSim</v>
      </c>
      <c r="J7" s="3" t="s">
        <v>1</v>
      </c>
      <c r="K7" s="9" t="s">
        <v>21</v>
      </c>
      <c r="L7" s="8" t="s">
        <v>279</v>
      </c>
      <c r="M7" s="11"/>
      <c r="U7" s="12" t="s">
        <v>1</v>
      </c>
      <c r="Z7" s="10"/>
    </row>
    <row r="8" spans="1:26" ht="24.95" customHeight="1" x14ac:dyDescent="0.25">
      <c r="D8" s="31" t="s">
        <v>117</v>
      </c>
      <c r="E8" s="13"/>
      <c r="F8" s="31" t="str">
        <f>GetPath()&amp;"\..\Firmware\PrecRtdSim-APP\Core\Common\"</f>
        <v>C:\Users\evzen\OneDrive\Dokumenty\RTD_repo\Documents\..\Firmware\PrecRtdSim-APP\Core\Common\</v>
      </c>
      <c r="J8" s="3" t="s">
        <v>1</v>
      </c>
      <c r="K8" s="9" t="s">
        <v>145</v>
      </c>
      <c r="L8" s="8" t="s">
        <v>281</v>
      </c>
      <c r="M8" s="11"/>
      <c r="U8" s="12" t="s">
        <v>1</v>
      </c>
      <c r="Z8" s="10"/>
    </row>
    <row r="9" spans="1:26" ht="24.95" customHeight="1" x14ac:dyDescent="0.25">
      <c r="D9" s="31" t="s">
        <v>148</v>
      </c>
      <c r="E9" s="13"/>
      <c r="F9" s="31" t="s">
        <v>285</v>
      </c>
      <c r="J9" s="3"/>
      <c r="K9" s="9" t="s">
        <v>1</v>
      </c>
      <c r="L9" s="8" t="s">
        <v>282</v>
      </c>
      <c r="M9" s="11"/>
      <c r="Z9" s="10"/>
    </row>
    <row r="10" spans="1:26" ht="24.95" customHeight="1" x14ac:dyDescent="0.25">
      <c r="D10" s="31" t="s">
        <v>153</v>
      </c>
      <c r="E10" s="13"/>
      <c r="F10" s="31" t="s">
        <v>284</v>
      </c>
      <c r="K10" s="9" t="s">
        <v>154</v>
      </c>
      <c r="L10" s="8" t="s">
        <v>283</v>
      </c>
      <c r="M10" s="11"/>
    </row>
    <row r="11" spans="1:26" ht="24.75" customHeight="1" x14ac:dyDescent="0.25">
      <c r="D11" s="31" t="s">
        <v>155</v>
      </c>
      <c r="F11" s="31"/>
      <c r="K11" s="10"/>
      <c r="M11" s="11"/>
    </row>
    <row r="12" spans="1:26" ht="24.75" customHeight="1" x14ac:dyDescent="0.25">
      <c r="D12" s="31" t="s">
        <v>151</v>
      </c>
      <c r="E12" s="11"/>
      <c r="F12" s="31" t="str">
        <f>ModbusGetVersion()</f>
        <v>0.1.15 - 2021-02-15</v>
      </c>
      <c r="G12" s="12"/>
      <c r="H12" s="12"/>
      <c r="I12" s="12"/>
      <c r="J12" s="12"/>
      <c r="M12" s="11"/>
    </row>
    <row r="13" spans="1:26" x14ac:dyDescent="0.25">
      <c r="F13" s="12"/>
      <c r="G13" s="12"/>
      <c r="H13" s="12"/>
      <c r="I13" s="12"/>
      <c r="J13" s="12"/>
      <c r="M13" s="11"/>
    </row>
    <row r="14" spans="1:26" x14ac:dyDescent="0.25">
      <c r="F14" s="12"/>
      <c r="G14" s="12"/>
      <c r="H14" s="12"/>
      <c r="I14" s="12"/>
      <c r="J14" s="12"/>
      <c r="M14" s="11"/>
    </row>
    <row r="15" spans="1:26" x14ac:dyDescent="0.25">
      <c r="E15" s="11"/>
      <c r="K15" s="10"/>
      <c r="M15" s="11"/>
    </row>
    <row r="16" spans="1:26" ht="15" customHeight="1" x14ac:dyDescent="0.25">
      <c r="A16" s="45"/>
      <c r="B16" s="45"/>
      <c r="C16" s="44"/>
      <c r="D16" s="47" t="s">
        <v>8</v>
      </c>
      <c r="E16" s="49" t="s">
        <v>33</v>
      </c>
      <c r="F16" s="42" t="s">
        <v>10</v>
      </c>
      <c r="G16" s="42" t="s">
        <v>39</v>
      </c>
      <c r="H16" s="42" t="s">
        <v>11</v>
      </c>
      <c r="I16" s="47" t="s">
        <v>0</v>
      </c>
      <c r="J16" s="42" t="s">
        <v>13</v>
      </c>
      <c r="K16" s="47" t="s">
        <v>16</v>
      </c>
      <c r="L16" s="47" t="s">
        <v>2</v>
      </c>
      <c r="M16" s="55" t="s">
        <v>134</v>
      </c>
      <c r="N16" s="42" t="s">
        <v>14</v>
      </c>
      <c r="O16" s="52" t="s">
        <v>118</v>
      </c>
      <c r="P16" s="52" t="s">
        <v>119</v>
      </c>
      <c r="Q16" s="52" t="s">
        <v>123</v>
      </c>
      <c r="R16" s="52" t="s">
        <v>149</v>
      </c>
      <c r="S16" s="54" t="s">
        <v>101</v>
      </c>
      <c r="T16" s="51" t="s">
        <v>4</v>
      </c>
    </row>
    <row r="17" spans="1:20" ht="15" customHeight="1" x14ac:dyDescent="0.25">
      <c r="A17" s="46"/>
      <c r="B17" s="46"/>
      <c r="C17" s="44"/>
      <c r="D17" s="48"/>
      <c r="E17" s="50"/>
      <c r="F17" s="43"/>
      <c r="G17" s="43"/>
      <c r="H17" s="43"/>
      <c r="I17" s="48"/>
      <c r="J17" s="43"/>
      <c r="K17" s="48"/>
      <c r="L17" s="48"/>
      <c r="M17" s="56"/>
      <c r="N17" s="48"/>
      <c r="O17" s="53"/>
      <c r="P17" s="53"/>
      <c r="Q17" s="57"/>
      <c r="R17" s="57"/>
      <c r="S17" s="53"/>
      <c r="T17" s="50"/>
    </row>
    <row r="18" spans="1:20" x14ac:dyDescent="0.25">
      <c r="D18" s="16"/>
      <c r="E18" s="2" t="s">
        <v>170</v>
      </c>
      <c r="F18" s="14" t="s">
        <v>32</v>
      </c>
      <c r="G18" s="5" t="s">
        <v>48</v>
      </c>
      <c r="H18" s="14" t="s">
        <v>45</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167</v>
      </c>
      <c r="N18" s="3">
        <v>0</v>
      </c>
      <c r="O18" s="3"/>
      <c r="P18" s="3"/>
      <c r="Q18" s="3" t="s">
        <v>124</v>
      </c>
      <c r="R18" s="3"/>
      <c r="T18" s="2" t="s">
        <v>168</v>
      </c>
    </row>
    <row r="19" spans="1:20" x14ac:dyDescent="0.25">
      <c r="D19" s="13"/>
      <c r="E19" s="11" t="s">
        <v>46</v>
      </c>
      <c r="F19" s="14" t="s">
        <v>32</v>
      </c>
      <c r="G19" s="5" t="s">
        <v>48</v>
      </c>
      <c r="H19" s="5" t="s">
        <v>51</v>
      </c>
      <c r="I19" s="14">
        <f t="shared" ref="I19:I29"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142</v>
      </c>
      <c r="N19" s="3">
        <v>1001</v>
      </c>
      <c r="O19" s="10">
        <v>1001</v>
      </c>
      <c r="P19" s="10">
        <v>5050</v>
      </c>
      <c r="R19" s="29"/>
      <c r="T19" s="2" t="s">
        <v>130</v>
      </c>
    </row>
    <row r="20" spans="1:20" x14ac:dyDescent="0.25">
      <c r="A20" s="34"/>
      <c r="D20" s="13"/>
      <c r="E20" t="s">
        <v>150</v>
      </c>
      <c r="F20" s="3" t="s">
        <v>32</v>
      </c>
      <c r="G20" s="3" t="s">
        <v>44</v>
      </c>
      <c r="H20" s="3" t="s">
        <v>45</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152</v>
      </c>
      <c r="N20" s="29"/>
      <c r="O20" s="29"/>
      <c r="P20" s="3"/>
      <c r="Q20" s="29"/>
      <c r="R20" s="29"/>
      <c r="S20" s="34"/>
      <c r="T20" t="s">
        <v>156</v>
      </c>
    </row>
    <row r="21" spans="1:20" x14ac:dyDescent="0.25">
      <c r="A21" s="34"/>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157</v>
      </c>
      <c r="M21" t="s">
        <v>158</v>
      </c>
      <c r="N21" s="29"/>
      <c r="Q21" s="3"/>
      <c r="R21" s="29"/>
      <c r="T21" s="2" t="s">
        <v>169</v>
      </c>
    </row>
    <row r="22" spans="1:20" x14ac:dyDescent="0.25">
      <c r="A22" s="34"/>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162</v>
      </c>
      <c r="M22" t="s">
        <v>163</v>
      </c>
      <c r="N22" s="29"/>
      <c r="O22" s="29"/>
      <c r="P22" s="29"/>
      <c r="Q22" s="29"/>
      <c r="R22" s="29"/>
      <c r="S22" s="34"/>
      <c r="T22" t="s">
        <v>164</v>
      </c>
    </row>
    <row r="23" spans="1:20" x14ac:dyDescent="0.25">
      <c r="A23" s="34"/>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172</v>
      </c>
      <c r="M23" t="s">
        <v>173</v>
      </c>
      <c r="N23" s="29"/>
      <c r="O23" s="29"/>
      <c r="P23" s="29"/>
      <c r="Q23" s="29"/>
      <c r="R23" s="29"/>
      <c r="S23" s="34"/>
      <c r="T23" s="2" t="s">
        <v>174</v>
      </c>
    </row>
    <row r="24" spans="1:20" s="34" customFormat="1" x14ac:dyDescent="0.25">
      <c r="D24" s="40"/>
      <c r="E24"/>
      <c r="F24" s="3" t="s">
        <v>32</v>
      </c>
      <c r="G24" s="3"/>
      <c r="H24" s="3"/>
      <c r="I24" s="33">
        <f t="shared" si="0"/>
        <v>12</v>
      </c>
      <c r="J24" s="3"/>
      <c r="K24" s="10">
        <f xml:space="preserve"> IFERROR("0x" &amp; DEC2HEX(VLOOKUP(F24,Common!$C$10:$D$34,2,FALSE),2) &amp; DEC2HEX(I24,3) &amp; DEC2HEX(VLOOKUP(G24,Common!$C$51:$D$55,2,FALSE),1) &amp; DEC2HEX(1+2*VLOOKUP(H24,Common!$C$69:$D$72,2,FALSE),1) &amp; DEC2HEX(IFERROR(LOG(J24,2),0),1),0)</f>
        <v>0</v>
      </c>
      <c r="L24" s="3" t="s">
        <v>192</v>
      </c>
      <c r="M24" t="s">
        <v>193</v>
      </c>
      <c r="N24" s="29"/>
      <c r="O24" s="29"/>
      <c r="P24" s="29"/>
      <c r="Q24" s="29"/>
      <c r="R24" s="29"/>
      <c r="T24" t="s">
        <v>194</v>
      </c>
    </row>
    <row r="25" spans="1:20" x14ac:dyDescent="0.25">
      <c r="A25" s="34"/>
      <c r="D25" s="14"/>
      <c r="E25" s="2"/>
      <c r="F25" s="3" t="s">
        <v>32</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159</v>
      </c>
      <c r="M25" t="s">
        <v>160</v>
      </c>
      <c r="N25" s="29">
        <v>16</v>
      </c>
      <c r="O25" s="29"/>
      <c r="P25" s="29"/>
      <c r="Q25" s="29"/>
      <c r="R25" s="29"/>
      <c r="S25" s="34"/>
      <c r="T25" t="s">
        <v>161</v>
      </c>
    </row>
    <row r="26" spans="1:20" x14ac:dyDescent="0.25">
      <c r="A26" s="34"/>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179</v>
      </c>
      <c r="M26" t="s">
        <v>180</v>
      </c>
      <c r="N26" s="29"/>
      <c r="O26" s="29"/>
      <c r="P26" s="29"/>
      <c r="Q26" s="29"/>
      <c r="R26" s="29"/>
      <c r="S26" s="34"/>
      <c r="T26" s="2" t="s">
        <v>181</v>
      </c>
    </row>
    <row r="27" spans="1:20" s="13" customFormat="1" ht="90" x14ac:dyDescent="0.25">
      <c r="A27" s="36"/>
      <c r="B27" s="12"/>
      <c r="C27" s="12"/>
      <c r="D27" s="14"/>
      <c r="E27" s="37" t="s">
        <v>165</v>
      </c>
      <c r="F27" s="5" t="s">
        <v>32</v>
      </c>
      <c r="G27" s="5" t="s">
        <v>48</v>
      </c>
      <c r="H27" s="5" t="s">
        <v>50</v>
      </c>
      <c r="I27" s="14">
        <f t="shared" si="0"/>
        <v>12</v>
      </c>
      <c r="J27" s="33">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8" t="s">
        <v>166</v>
      </c>
      <c r="N27" s="33"/>
      <c r="O27" s="33">
        <v>0</v>
      </c>
      <c r="P27" s="33">
        <v>9901</v>
      </c>
      <c r="Q27" s="33"/>
      <c r="R27" s="5"/>
      <c r="S27" s="33"/>
      <c r="T27" s="39" t="s">
        <v>178</v>
      </c>
    </row>
    <row r="28" spans="1:20" x14ac:dyDescent="0.25">
      <c r="A28" s="34"/>
      <c r="D28" s="14"/>
      <c r="E28" s="2" t="s">
        <v>146</v>
      </c>
      <c r="F28" s="3" t="s">
        <v>32</v>
      </c>
      <c r="G28" s="5" t="s">
        <v>48</v>
      </c>
      <c r="H28" s="18" t="s">
        <v>50</v>
      </c>
      <c r="I28" s="14">
        <f t="shared" si="0"/>
        <v>16</v>
      </c>
      <c r="J28" s="29">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147</v>
      </c>
      <c r="R28" s="29"/>
      <c r="T28" s="2" t="s">
        <v>176</v>
      </c>
    </row>
    <row r="29" spans="1:20" s="34" customFormat="1" x14ac:dyDescent="0.25">
      <c r="D29" s="40"/>
      <c r="E29" t="s">
        <v>195</v>
      </c>
      <c r="F29" s="3" t="s">
        <v>32</v>
      </c>
      <c r="G29" s="3" t="s">
        <v>48</v>
      </c>
      <c r="H29" s="3" t="s">
        <v>45</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9" t="str">
        <f>IF(AND(LEN(E29)&lt;&gt;0,S29=""),F29&amp;"_"&amp;UPPER(E29),"")</f>
        <v>SYS_IO_INPUT</v>
      </c>
      <c r="M29" t="s">
        <v>196</v>
      </c>
      <c r="N29" s="29"/>
      <c r="O29" s="29">
        <v>0</v>
      </c>
      <c r="P29" s="3" t="s">
        <v>197</v>
      </c>
      <c r="Q29" s="29"/>
      <c r="R29" s="29"/>
      <c r="T29" t="s">
        <v>198</v>
      </c>
    </row>
    <row r="30" spans="1:20" x14ac:dyDescent="0.25">
      <c r="A30" s="34"/>
      <c r="D30" s="14"/>
      <c r="E30" s="2"/>
      <c r="F30" s="3"/>
      <c r="G30" s="5"/>
      <c r="H30" s="18"/>
      <c r="I30" s="14"/>
      <c r="J30" s="29"/>
      <c r="K30" s="10"/>
      <c r="M30" s="2"/>
      <c r="Q30" s="29"/>
      <c r="R30" s="3"/>
      <c r="S30" s="29"/>
      <c r="T30" s="35"/>
    </row>
    <row r="31" spans="1:20" x14ac:dyDescent="0.25">
      <c r="A31" s="34"/>
      <c r="D31" s="14"/>
      <c r="E31" s="2"/>
      <c r="F31" s="3"/>
      <c r="G31" s="5"/>
      <c r="H31" s="18"/>
      <c r="I31" s="14"/>
      <c r="J31" s="29"/>
      <c r="K31" s="10"/>
      <c r="M31" s="2"/>
      <c r="Q31" s="29"/>
      <c r="R31" s="3"/>
      <c r="S31" s="29"/>
      <c r="T31" s="35"/>
    </row>
    <row r="32" spans="1:20" x14ac:dyDescent="0.25">
      <c r="D32" s="14"/>
      <c r="K32" s="10"/>
      <c r="R32" s="3"/>
    </row>
    <row r="33" spans="1:23" x14ac:dyDescent="0.25">
      <c r="A33" s="34"/>
      <c r="D33" s="14"/>
      <c r="E33" s="11" t="s">
        <v>9</v>
      </c>
      <c r="F33" s="14" t="s">
        <v>30</v>
      </c>
      <c r="G33" s="5" t="s">
        <v>48</v>
      </c>
      <c r="H33" s="18" t="s">
        <v>45</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135</v>
      </c>
      <c r="N33" s="3"/>
      <c r="R33" s="29"/>
      <c r="T33" t="s">
        <v>125</v>
      </c>
    </row>
    <row r="34" spans="1:23" x14ac:dyDescent="0.25">
      <c r="A34" s="34"/>
      <c r="D34" s="14"/>
      <c r="E34" s="11" t="s">
        <v>22</v>
      </c>
      <c r="F34" s="14" t="s">
        <v>30</v>
      </c>
      <c r="G34" s="5" t="s">
        <v>48</v>
      </c>
      <c r="H34" s="18" t="s">
        <v>45</v>
      </c>
      <c r="I34" s="14">
        <f t="shared" ref="I34:I41" si="1"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136</v>
      </c>
      <c r="N34" s="3"/>
      <c r="O34" s="10">
        <v>9153</v>
      </c>
      <c r="P34" s="10">
        <v>9153</v>
      </c>
      <c r="R34" s="29"/>
      <c r="T34" t="s">
        <v>177</v>
      </c>
    </row>
    <row r="35" spans="1:23" x14ac:dyDescent="0.25">
      <c r="A35" s="34"/>
      <c r="D35" s="14"/>
      <c r="E35" s="11" t="s">
        <v>15</v>
      </c>
      <c r="F35" s="14" t="s">
        <v>30</v>
      </c>
      <c r="G35" s="5" t="s">
        <v>48</v>
      </c>
      <c r="H35" s="18" t="s">
        <v>45</v>
      </c>
      <c r="I35" s="14">
        <f t="shared" si="1"/>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137</v>
      </c>
      <c r="N35" s="3"/>
      <c r="O35" s="3">
        <v>1001</v>
      </c>
      <c r="P35" s="3">
        <v>5099</v>
      </c>
      <c r="R35" s="29"/>
      <c r="T35" t="s">
        <v>171</v>
      </c>
    </row>
    <row r="36" spans="1:23" x14ac:dyDescent="0.25">
      <c r="A36" s="34"/>
      <c r="D36" s="14"/>
      <c r="E36" s="11" t="s">
        <v>34</v>
      </c>
      <c r="F36" s="14" t="s">
        <v>30</v>
      </c>
      <c r="G36" s="5" t="s">
        <v>48</v>
      </c>
      <c r="H36" s="18" t="s">
        <v>45</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138</v>
      </c>
      <c r="O36" s="3">
        <v>1001</v>
      </c>
      <c r="P36" s="3">
        <v>5099</v>
      </c>
      <c r="R36" s="29"/>
      <c r="T36" t="s">
        <v>126</v>
      </c>
    </row>
    <row r="37" spans="1:23" x14ac:dyDescent="0.25">
      <c r="D37" s="14"/>
      <c r="E37" s="11"/>
      <c r="F37" s="14"/>
      <c r="G37" s="5"/>
      <c r="H37" s="18"/>
      <c r="I37" s="14"/>
      <c r="J37" s="14"/>
      <c r="K37" s="10"/>
      <c r="M37"/>
      <c r="O37" s="3"/>
      <c r="P37" s="3"/>
      <c r="R37" s="29"/>
      <c r="T37"/>
    </row>
    <row r="38" spans="1:23" ht="15" customHeight="1" x14ac:dyDescent="0.25">
      <c r="A38" s="34"/>
      <c r="D38" s="15"/>
      <c r="E38" s="11" t="s">
        <v>35</v>
      </c>
      <c r="F38" s="10" t="s">
        <v>31</v>
      </c>
      <c r="G38" s="5" t="s">
        <v>48</v>
      </c>
      <c r="H38" s="18" t="s">
        <v>45</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175</v>
      </c>
      <c r="O38" s="29">
        <v>1</v>
      </c>
      <c r="P38" s="10">
        <v>999</v>
      </c>
      <c r="R38" s="29"/>
      <c r="T38" t="s">
        <v>127</v>
      </c>
    </row>
    <row r="39" spans="1:23" x14ac:dyDescent="0.25">
      <c r="A39" s="34"/>
      <c r="D39" s="15"/>
      <c r="E39" s="11" t="s">
        <v>12</v>
      </c>
      <c r="F39" s="10" t="s">
        <v>31</v>
      </c>
      <c r="G39" s="5" t="s">
        <v>48</v>
      </c>
      <c r="H39" s="18" t="s">
        <v>45</v>
      </c>
      <c r="I39" s="14">
        <f t="shared" si="1"/>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139</v>
      </c>
      <c r="O39" s="29">
        <v>20231100</v>
      </c>
      <c r="P39" s="29">
        <v>20250330</v>
      </c>
      <c r="R39" s="29"/>
      <c r="T39" t="s">
        <v>128</v>
      </c>
    </row>
    <row r="40" spans="1:23" x14ac:dyDescent="0.25">
      <c r="A40" s="34"/>
      <c r="D40" s="15"/>
      <c r="E40" s="11" t="s">
        <v>36</v>
      </c>
      <c r="F40" s="10" t="s">
        <v>31</v>
      </c>
      <c r="G40" s="5" t="s">
        <v>48</v>
      </c>
      <c r="H40" s="18" t="s">
        <v>45</v>
      </c>
      <c r="I40" s="14">
        <f t="shared" si="1"/>
        <v>8</v>
      </c>
      <c r="J40" s="10">
        <v>4</v>
      </c>
      <c r="K40" s="10" t="str">
        <f xml:space="preserve"> IFERROR("0x" &amp; DEC2HEX(VLOOKUP(F40,Common!$C$10:$D$34,2,FALSE),2) &amp; DEC2HEX(I40,3) &amp; DEC2HEX(VLOOKUP(G40,Common!$C$51:$D$55,2,FALSE),1) &amp; DEC2HEX(1+2*VLOOKUP(H40,Common!$C$69:$D$72,2,FALSE),1) &amp; DEC2HEX(IFERROR(LOG(J40,2),0),1),0)</f>
        <v>0x02008112</v>
      </c>
      <c r="L40" s="10" t="str">
        <f>IF(AND(LEN(E40)&lt;&gt;0,S40=""),F40&amp;"_"&amp;UPPER(E40),"")</f>
        <v>FIRM_APP_CHECKSUM</v>
      </c>
      <c r="M40" t="s">
        <v>140</v>
      </c>
      <c r="R40" s="29"/>
      <c r="T40" t="s">
        <v>42</v>
      </c>
    </row>
    <row r="41" spans="1:23" x14ac:dyDescent="0.25">
      <c r="A41" s="34"/>
      <c r="D41" s="15"/>
      <c r="E41" s="11" t="s">
        <v>37</v>
      </c>
      <c r="F41" s="10" t="s">
        <v>31</v>
      </c>
      <c r="G41" s="5" t="s">
        <v>48</v>
      </c>
      <c r="H41" s="18" t="s">
        <v>45</v>
      </c>
      <c r="I41" s="14">
        <f t="shared" si="1"/>
        <v>12</v>
      </c>
      <c r="J41" s="10">
        <v>4</v>
      </c>
      <c r="K41" s="10" t="str">
        <f xml:space="preserve"> IFERROR("0x" &amp; DEC2HEX(VLOOKUP(F41,Common!$C$10:$D$34,2,FALSE),2) &amp; DEC2HEX(I41,3) &amp; DEC2HEX(VLOOKUP(G41,Common!$C$51:$D$55,2,FALSE),1) &amp; DEC2HEX(1+2*VLOOKUP(H41,Common!$C$69:$D$72,2,FALSE),1) &amp; DEC2HEX(IFERROR(LOG(J41,2),0),1),0)</f>
        <v>0x0200C112</v>
      </c>
      <c r="L41" s="10" t="str">
        <f>IF(AND(LEN(E41)&lt;&gt;0,S41=""),F41&amp;"_"&amp;UPPER(E41),"")</f>
        <v>FIRM_APP_SIZE</v>
      </c>
      <c r="M41" t="s">
        <v>141</v>
      </c>
      <c r="O41" s="10">
        <v>10000</v>
      </c>
      <c r="P41" s="10">
        <v>32000</v>
      </c>
      <c r="R41" s="29"/>
      <c r="T41" t="s">
        <v>129</v>
      </c>
    </row>
    <row r="42" spans="1:23" x14ac:dyDescent="0.25">
      <c r="D42" s="15"/>
      <c r="E42" s="2"/>
      <c r="F42" s="5"/>
      <c r="G42" s="5"/>
      <c r="H42" s="18"/>
      <c r="I42" s="14"/>
      <c r="J42" s="14"/>
      <c r="K42" s="10"/>
      <c r="L42" s="3"/>
      <c r="M42"/>
      <c r="R42" s="29"/>
      <c r="T42"/>
    </row>
    <row r="43" spans="1:23" s="34" customFormat="1" x14ac:dyDescent="0.25">
      <c r="B43" s="12"/>
      <c r="C43" s="12"/>
      <c r="D43"/>
      <c r="E43"/>
      <c r="F43" s="3"/>
      <c r="G43" s="3"/>
      <c r="H43" s="3"/>
      <c r="I43" s="33"/>
      <c r="J43" s="29"/>
      <c r="K43" s="29"/>
      <c r="L43" s="29"/>
      <c r="M43" s="21"/>
      <c r="N43" s="29"/>
      <c r="O43" s="3"/>
      <c r="P43" s="3"/>
      <c r="Q43" s="3"/>
      <c r="R43" s="3"/>
      <c r="S43"/>
      <c r="T43"/>
      <c r="U43"/>
      <c r="V43"/>
      <c r="W43"/>
    </row>
    <row r="44" spans="1:23" s="34" customFormat="1" x14ac:dyDescent="0.25">
      <c r="D44" s="40"/>
      <c r="E44" s="2" t="s">
        <v>199</v>
      </c>
      <c r="F44" s="5" t="s">
        <v>185</v>
      </c>
      <c r="G44" s="3" t="s">
        <v>114</v>
      </c>
      <c r="H44" s="18" t="s">
        <v>47</v>
      </c>
      <c r="I44" s="33">
        <f t="shared" ref="I44:I60" si="2" xml:space="preserve"> I43+J43</f>
        <v>0</v>
      </c>
      <c r="J44" s="29">
        <v>1</v>
      </c>
      <c r="K44" s="10" t="str">
        <f xml:space="preserve"> IFERROR("0x" &amp; DEC2HEX(VLOOKUP(F44,Common!$C$10:$D$34,2,FALSE),2) &amp; DEC2HEX(I44,3) &amp; DEC2HEX(VLOOKUP(G44,Common!$C$51:$D$55,2,FALSE),1) &amp; DEC2HEX(1+2*VLOOKUP(H44,Common!$C$69:$D$72,2,FALSE),1) &amp; DEC2HEX(IFERROR(LOG(J44,2),0),1),0)</f>
        <v>0x03000570</v>
      </c>
      <c r="L44" s="29" t="str">
        <f t="shared" ref="L44" si="3">IF(AND(LEN(E44)&lt;&gt;0,S44=""),F44&amp;"_"&amp;UPPER(E44),"")</f>
        <v>COM_MB_BAUD_RATE</v>
      </c>
      <c r="M44" t="s">
        <v>200</v>
      </c>
      <c r="N44" s="29">
        <v>1</v>
      </c>
      <c r="O44" s="29">
        <v>0</v>
      </c>
      <c r="P44" s="29">
        <v>4</v>
      </c>
      <c r="Q44" s="29"/>
      <c r="R44" s="29"/>
      <c r="S44" s="29"/>
      <c r="T44" t="s">
        <v>201</v>
      </c>
    </row>
    <row r="45" spans="1:23" s="34" customFormat="1" x14ac:dyDescent="0.25">
      <c r="D45" s="40"/>
      <c r="F45" s="5" t="s">
        <v>185</v>
      </c>
      <c r="G45" s="29"/>
      <c r="H45" s="29"/>
      <c r="I45" s="33">
        <f t="shared" si="2"/>
        <v>1</v>
      </c>
      <c r="J45" s="29"/>
      <c r="K45" s="10">
        <f xml:space="preserve"> IFERROR("0x" &amp; DEC2HEX(VLOOKUP(F45,Common!$C$10:$D$34,2,FALSE),2) &amp; DEC2HEX(I45,3) &amp; DEC2HEX(VLOOKUP(G45,Common!$C$51:$D$55,2,FALSE),1) &amp; DEC2HEX(1+2*VLOOKUP(H45,Common!$C$69:$D$72,2,FALSE),1) &amp; DEC2HEX(IFERROR(LOG(J45,2),0),1),0)</f>
        <v>0</v>
      </c>
      <c r="L45" s="3" t="s">
        <v>202</v>
      </c>
      <c r="M45" s="41">
        <v>9600</v>
      </c>
      <c r="N45" s="29"/>
      <c r="O45" s="29"/>
      <c r="P45" s="29"/>
      <c r="Q45" s="29"/>
      <c r="R45" s="29"/>
      <c r="S45" s="29"/>
      <c r="T45" t="s">
        <v>203</v>
      </c>
    </row>
    <row r="46" spans="1:23" s="34" customFormat="1" x14ac:dyDescent="0.25">
      <c r="D46" s="40"/>
      <c r="F46" s="5" t="s">
        <v>185</v>
      </c>
      <c r="G46" s="29"/>
      <c r="H46" s="29"/>
      <c r="I46" s="33">
        <f t="shared" si="2"/>
        <v>1</v>
      </c>
      <c r="J46" s="29"/>
      <c r="K46" s="10">
        <f xml:space="preserve"> IFERROR("0x" &amp; DEC2HEX(VLOOKUP(F46,Common!$C$10:$D$34,2,FALSE),2) &amp; DEC2HEX(I46,3) &amp; DEC2HEX(VLOOKUP(G46,Common!$C$51:$D$55,2,FALSE),1) &amp; DEC2HEX(1+2*VLOOKUP(H46,Common!$C$69:$D$72,2,FALSE),1) &amp; DEC2HEX(IFERROR(LOG(J46,2),0),1),0)</f>
        <v>0</v>
      </c>
      <c r="L46" s="3" t="s">
        <v>204</v>
      </c>
      <c r="M46" s="41">
        <v>19200</v>
      </c>
      <c r="N46" s="29"/>
      <c r="O46" s="29"/>
      <c r="P46" s="29"/>
      <c r="Q46" s="29"/>
      <c r="R46" s="29"/>
      <c r="S46" s="29"/>
      <c r="T46" t="s">
        <v>205</v>
      </c>
    </row>
    <row r="47" spans="1:23" s="34" customFormat="1" x14ac:dyDescent="0.25">
      <c r="D47" s="40"/>
      <c r="F47" s="5" t="s">
        <v>185</v>
      </c>
      <c r="G47" s="29"/>
      <c r="H47" s="29"/>
      <c r="I47" s="33">
        <f t="shared" si="2"/>
        <v>1</v>
      </c>
      <c r="J47" s="29"/>
      <c r="K47" s="10">
        <f xml:space="preserve"> IFERROR("0x" &amp; DEC2HEX(VLOOKUP(F47,Common!$C$10:$D$34,2,FALSE),2) &amp; DEC2HEX(I47,3) &amp; DEC2HEX(VLOOKUP(G47,Common!$C$51:$D$55,2,FALSE),1) &amp; DEC2HEX(1+2*VLOOKUP(H47,Common!$C$69:$D$72,2,FALSE),1) &amp; DEC2HEX(IFERROR(LOG(J47,2),0),1),0)</f>
        <v>0</v>
      </c>
      <c r="L47" s="3" t="s">
        <v>206</v>
      </c>
      <c r="M47" s="41">
        <v>38400</v>
      </c>
      <c r="N47" s="29"/>
      <c r="O47" s="29"/>
      <c r="P47" s="29"/>
      <c r="Q47" s="29"/>
      <c r="R47" s="29"/>
      <c r="S47" s="29"/>
      <c r="T47" t="s">
        <v>207</v>
      </c>
    </row>
    <row r="48" spans="1:23" s="34" customFormat="1" x14ac:dyDescent="0.25">
      <c r="D48" s="40"/>
      <c r="F48" s="5" t="s">
        <v>185</v>
      </c>
      <c r="G48" s="29"/>
      <c r="H48" s="29"/>
      <c r="I48" s="33">
        <f t="shared" si="2"/>
        <v>1</v>
      </c>
      <c r="J48" s="29"/>
      <c r="K48" s="10">
        <f xml:space="preserve"> IFERROR("0x" &amp; DEC2HEX(VLOOKUP(F48,Common!$C$10:$D$34,2,FALSE),2) &amp; DEC2HEX(I48,3) &amp; DEC2HEX(VLOOKUP(G48,Common!$C$51:$D$55,2,FALSE),1) &amp; DEC2HEX(1+2*VLOOKUP(H48,Common!$C$69:$D$72,2,FALSE),1) &amp; DEC2HEX(IFERROR(LOG(J48,2),0),1),0)</f>
        <v>0</v>
      </c>
      <c r="L48" s="3" t="s">
        <v>208</v>
      </c>
      <c r="M48" s="41">
        <v>57600</v>
      </c>
      <c r="N48" s="29"/>
      <c r="O48" s="29"/>
      <c r="P48" s="29"/>
      <c r="Q48" s="29"/>
      <c r="R48" s="29"/>
      <c r="S48" s="29"/>
      <c r="T48" t="s">
        <v>209</v>
      </c>
    </row>
    <row r="49" spans="4:26" s="34" customFormat="1" x14ac:dyDescent="0.25">
      <c r="D49" s="40"/>
      <c r="F49" s="5" t="s">
        <v>185</v>
      </c>
      <c r="G49" s="29"/>
      <c r="H49" s="29"/>
      <c r="I49" s="33">
        <f t="shared" si="2"/>
        <v>1</v>
      </c>
      <c r="J49" s="29"/>
      <c r="K49" s="10">
        <f xml:space="preserve"> IFERROR("0x" &amp; DEC2HEX(VLOOKUP(F49,Common!$C$10:$D$34,2,FALSE),2) &amp; DEC2HEX(I49,3) &amp; DEC2HEX(VLOOKUP(G49,Common!$C$51:$D$55,2,FALSE),1) &amp; DEC2HEX(1+2*VLOOKUP(H49,Common!$C$69:$D$72,2,FALSE),1) &amp; DEC2HEX(IFERROR(LOG(J49,2),0),1),0)</f>
        <v>0</v>
      </c>
      <c r="L49" s="3" t="s">
        <v>210</v>
      </c>
      <c r="M49" s="41">
        <v>115200</v>
      </c>
      <c r="N49" s="29"/>
      <c r="O49" s="29"/>
      <c r="P49" s="29"/>
      <c r="Q49" s="29"/>
      <c r="R49" s="29"/>
      <c r="S49" s="29"/>
      <c r="T49" t="s">
        <v>211</v>
      </c>
    </row>
    <row r="50" spans="4:26" s="34" customFormat="1" x14ac:dyDescent="0.25">
      <c r="D50" s="40"/>
      <c r="E50" t="s">
        <v>212</v>
      </c>
      <c r="F50" s="5" t="s">
        <v>185</v>
      </c>
      <c r="G50" s="3" t="s">
        <v>114</v>
      </c>
      <c r="H50" s="3" t="s">
        <v>47</v>
      </c>
      <c r="I50" s="33">
        <f t="shared" si="2"/>
        <v>1</v>
      </c>
      <c r="J50" s="29">
        <v>1</v>
      </c>
      <c r="K50" s="10" t="str">
        <f xml:space="preserve"> IFERROR("0x" &amp; DEC2HEX(VLOOKUP(F50,Common!$C$10:$D$34,2,FALSE),2) &amp; DEC2HEX(I50,3) &amp; DEC2HEX(VLOOKUP(G50,Common!$C$51:$D$55,2,FALSE),1) &amp; DEC2HEX(1+2*VLOOKUP(H50,Common!$C$69:$D$72,2,FALSE),1) &amp; DEC2HEX(IFERROR(LOG(J50,2),0),1),0)</f>
        <v>0x03001570</v>
      </c>
      <c r="L50" s="29" t="str">
        <f t="shared" ref="L50" si="4">IF(AND(LEN(E50)&lt;&gt;0,S50=""),F50&amp;"_"&amp;UPPER(E50),"")</f>
        <v>COM_MB_PARITY</v>
      </c>
      <c r="M50" s="41" t="s">
        <v>213</v>
      </c>
      <c r="N50" s="29">
        <v>1</v>
      </c>
      <c r="O50" s="29">
        <v>0</v>
      </c>
      <c r="P50" s="29">
        <v>2</v>
      </c>
      <c r="Q50" s="29"/>
      <c r="R50" s="29"/>
      <c r="S50" s="29"/>
      <c r="T50" t="s">
        <v>214</v>
      </c>
    </row>
    <row r="51" spans="4:26" s="34" customFormat="1" x14ac:dyDescent="0.25">
      <c r="D51" s="40"/>
      <c r="F51" s="5" t="s">
        <v>185</v>
      </c>
      <c r="G51" s="29"/>
      <c r="H51" s="29"/>
      <c r="I51" s="33">
        <f t="shared" si="2"/>
        <v>2</v>
      </c>
      <c r="J51" s="29"/>
      <c r="K51" s="10">
        <f xml:space="preserve"> IFERROR("0x" &amp; DEC2HEX(VLOOKUP(F51,Common!$C$10:$D$34,2,FALSE),2) &amp; DEC2HEX(I51,3) &amp; DEC2HEX(VLOOKUP(G51,Common!$C$51:$D$55,2,FALSE),1) &amp; DEC2HEX(1+2*VLOOKUP(H51,Common!$C$69:$D$72,2,FALSE),1) &amp; DEC2HEX(IFERROR(LOG(J51,2),0),1),0)</f>
        <v>0</v>
      </c>
      <c r="L51" s="3" t="s">
        <v>215</v>
      </c>
      <c r="M51" s="41" t="s">
        <v>216</v>
      </c>
      <c r="N51" s="29"/>
      <c r="O51" s="29"/>
      <c r="P51" s="29"/>
      <c r="Q51" s="29"/>
      <c r="R51" s="29"/>
      <c r="S51" s="29"/>
      <c r="T51" t="s">
        <v>217</v>
      </c>
    </row>
    <row r="52" spans="4:26" s="34" customFormat="1" x14ac:dyDescent="0.25">
      <c r="D52" s="40"/>
      <c r="F52" s="5" t="s">
        <v>185</v>
      </c>
      <c r="G52" s="29"/>
      <c r="H52" s="29"/>
      <c r="I52" s="33">
        <f t="shared" si="2"/>
        <v>2</v>
      </c>
      <c r="J52" s="29"/>
      <c r="K52" s="10">
        <f xml:space="preserve"> IFERROR("0x" &amp; DEC2HEX(VLOOKUP(F52,Common!$C$10:$D$34,2,FALSE),2) &amp; DEC2HEX(I52,3) &amp; DEC2HEX(VLOOKUP(G52,Common!$C$51:$D$55,2,FALSE),1) &amp; DEC2HEX(1+2*VLOOKUP(H52,Common!$C$69:$D$72,2,FALSE),1) &amp; DEC2HEX(IFERROR(LOG(J52,2),0),1),0)</f>
        <v>0</v>
      </c>
      <c r="L52" s="3" t="s">
        <v>218</v>
      </c>
      <c r="M52" t="s">
        <v>219</v>
      </c>
      <c r="N52" s="29"/>
      <c r="O52" s="29"/>
      <c r="P52" s="29"/>
      <c r="Q52" s="29"/>
      <c r="R52" s="29"/>
      <c r="S52" s="29"/>
      <c r="T52" t="s">
        <v>220</v>
      </c>
    </row>
    <row r="53" spans="4:26" s="34" customFormat="1" x14ac:dyDescent="0.25">
      <c r="D53" s="40"/>
      <c r="F53" s="5" t="s">
        <v>185</v>
      </c>
      <c r="G53" s="29"/>
      <c r="H53" s="29"/>
      <c r="I53" s="33">
        <f t="shared" si="2"/>
        <v>2</v>
      </c>
      <c r="J53" s="29"/>
      <c r="K53" s="10">
        <f xml:space="preserve"> IFERROR("0x" &amp; DEC2HEX(VLOOKUP(F53,Common!$C$10:$D$34,2,FALSE),2) &amp; DEC2HEX(I53,3) &amp; DEC2HEX(VLOOKUP(G53,Common!$C$51:$D$55,2,FALSE),1) &amp; DEC2HEX(1+2*VLOOKUP(H53,Common!$C$69:$D$72,2,FALSE),1) &amp; DEC2HEX(IFERROR(LOG(J53,2),0),1),0)</f>
        <v>0</v>
      </c>
      <c r="L53" s="3" t="s">
        <v>221</v>
      </c>
      <c r="M53" t="s">
        <v>222</v>
      </c>
      <c r="N53" s="29"/>
      <c r="O53" s="29"/>
      <c r="P53" s="29"/>
      <c r="Q53" s="29"/>
      <c r="R53" s="29"/>
      <c r="S53" s="29"/>
      <c r="T53" t="s">
        <v>223</v>
      </c>
    </row>
    <row r="54" spans="4:26" s="34" customFormat="1" x14ac:dyDescent="0.25">
      <c r="D54" s="40"/>
      <c r="E54" t="s">
        <v>224</v>
      </c>
      <c r="F54" s="5" t="s">
        <v>185</v>
      </c>
      <c r="G54" s="3" t="s">
        <v>114</v>
      </c>
      <c r="H54" s="3" t="s">
        <v>47</v>
      </c>
      <c r="I54" s="33">
        <f t="shared" si="2"/>
        <v>2</v>
      </c>
      <c r="J54" s="29">
        <v>1</v>
      </c>
      <c r="K54" s="10" t="str">
        <f xml:space="preserve"> IFERROR("0x" &amp; DEC2HEX(VLOOKUP(F54,Common!$C$10:$D$34,2,FALSE),2) &amp; DEC2HEX(I54,3) &amp; DEC2HEX(VLOOKUP(G54,Common!$C$51:$D$55,2,FALSE),1) &amp; DEC2HEX(1+2*VLOOKUP(H54,Common!$C$69:$D$72,2,FALSE),1) &amp; DEC2HEX(IFERROR(LOG(J54,2),0),1),0)</f>
        <v>0x03002570</v>
      </c>
      <c r="L54" s="29" t="str">
        <f t="shared" ref="L54" si="5">IF(AND(LEN(E54)&lt;&gt;0,S54=""),F54&amp;"_"&amp;UPPER(E54),"")</f>
        <v>COM_MB_STOP_BITS</v>
      </c>
      <c r="M54" t="s">
        <v>225</v>
      </c>
      <c r="N54" s="29">
        <v>0</v>
      </c>
      <c r="O54" s="29">
        <v>0</v>
      </c>
      <c r="P54" s="29">
        <v>1</v>
      </c>
      <c r="Q54" s="29"/>
      <c r="R54" s="29"/>
      <c r="S54" s="29"/>
      <c r="T54" t="s">
        <v>226</v>
      </c>
    </row>
    <row r="55" spans="4:26" s="34" customFormat="1" x14ac:dyDescent="0.25">
      <c r="D55" s="40"/>
      <c r="F55" s="5" t="s">
        <v>185</v>
      </c>
      <c r="G55" s="29"/>
      <c r="H55" s="29"/>
      <c r="I55" s="33">
        <f t="shared" si="2"/>
        <v>3</v>
      </c>
      <c r="J55" s="29"/>
      <c r="K55" s="10">
        <f xml:space="preserve"> IFERROR("0x" &amp; DEC2HEX(VLOOKUP(F55,Common!$C$10:$D$34,2,FALSE),2) &amp; DEC2HEX(I55,3) &amp; DEC2HEX(VLOOKUP(G55,Common!$C$51:$D$55,2,FALSE),1) &amp; DEC2HEX(1+2*VLOOKUP(H55,Common!$C$69:$D$72,2,FALSE),1) &amp; DEC2HEX(IFERROR(LOG(J55,2),0),1),0)</f>
        <v>0</v>
      </c>
      <c r="L55" s="3" t="s">
        <v>227</v>
      </c>
      <c r="M55" t="s">
        <v>228</v>
      </c>
      <c r="N55" s="29"/>
      <c r="O55" s="29"/>
      <c r="P55" s="29"/>
      <c r="Q55" s="29"/>
      <c r="R55" s="29"/>
      <c r="S55" s="29"/>
      <c r="T55" t="s">
        <v>228</v>
      </c>
    </row>
    <row r="56" spans="4:26" s="34" customFormat="1" x14ac:dyDescent="0.25">
      <c r="D56" s="40"/>
      <c r="F56" s="5" t="s">
        <v>185</v>
      </c>
      <c r="G56" s="29"/>
      <c r="H56" s="29"/>
      <c r="I56" s="33">
        <f t="shared" si="2"/>
        <v>3</v>
      </c>
      <c r="J56" s="29"/>
      <c r="K56" s="10">
        <f xml:space="preserve"> IFERROR("0x" &amp; DEC2HEX(VLOOKUP(F56,Common!$C$10:$D$34,2,FALSE),2) &amp; DEC2HEX(I56,3) &amp; DEC2HEX(VLOOKUP(G56,Common!$C$51:$D$55,2,FALSE),1) &amp; DEC2HEX(1+2*VLOOKUP(H56,Common!$C$69:$D$72,2,FALSE),1) &amp; DEC2HEX(IFERROR(LOG(J56,2),0),1),0)</f>
        <v>0</v>
      </c>
      <c r="L56" s="3" t="s">
        <v>229</v>
      </c>
      <c r="M56" t="s">
        <v>230</v>
      </c>
      <c r="N56" s="29"/>
      <c r="O56" s="29"/>
      <c r="P56" s="29"/>
      <c r="Q56" s="29"/>
      <c r="R56" s="29"/>
      <c r="S56" s="29"/>
      <c r="T56" t="s">
        <v>230</v>
      </c>
    </row>
    <row r="57" spans="4:26" s="34" customFormat="1" x14ac:dyDescent="0.25">
      <c r="D57" s="40"/>
      <c r="E57" t="s">
        <v>231</v>
      </c>
      <c r="F57" s="5" t="s">
        <v>185</v>
      </c>
      <c r="G57" s="3" t="s">
        <v>48</v>
      </c>
      <c r="H57" s="3" t="s">
        <v>50</v>
      </c>
      <c r="I57" s="33">
        <f t="shared" si="2"/>
        <v>3</v>
      </c>
      <c r="J57" s="29">
        <v>1</v>
      </c>
      <c r="K57" s="10" t="str">
        <f xml:space="preserve"> IFERROR("0x" &amp; DEC2HEX(VLOOKUP(F57,Common!$C$10:$D$34,2,FALSE),2) &amp; DEC2HEX(I57,3) &amp; DEC2HEX(VLOOKUP(G57,Common!$C$51:$D$55,2,FALSE),1) &amp; DEC2HEX(1+2*VLOOKUP(H57,Common!$C$69:$D$72,2,FALSE),1) &amp; DEC2HEX(IFERROR(LOG(J57,2),0),1),0)</f>
        <v>0x03003150</v>
      </c>
      <c r="L57" s="29" t="str">
        <f t="shared" ref="L57:L60" si="6">IF(AND(LEN(E57)&lt;&gt;0,S57=""),F57&amp;"_"&amp;UPPER(E57),"")</f>
        <v>COM_RESERVED</v>
      </c>
      <c r="M57"/>
      <c r="N57" s="29"/>
      <c r="O57" s="29"/>
      <c r="P57" s="29"/>
      <c r="Q57" s="29"/>
      <c r="R57" s="3" t="s">
        <v>232</v>
      </c>
      <c r="S57" s="29"/>
      <c r="T57"/>
    </row>
    <row r="58" spans="4:26" s="34" customFormat="1" x14ac:dyDescent="0.25">
      <c r="D58" s="40"/>
      <c r="E58" t="s">
        <v>233</v>
      </c>
      <c r="F58" s="5" t="s">
        <v>185</v>
      </c>
      <c r="G58" s="3" t="s">
        <v>48</v>
      </c>
      <c r="H58" s="3" t="s">
        <v>45</v>
      </c>
      <c r="I58" s="33">
        <f t="shared" si="2"/>
        <v>4</v>
      </c>
      <c r="J58" s="29">
        <v>2</v>
      </c>
      <c r="K58" s="10" t="str">
        <f xml:space="preserve"> IFERROR("0x" &amp; DEC2HEX(VLOOKUP(F58,Common!$C$10:$D$34,2,FALSE),2) &amp; DEC2HEX(I58,3) &amp; DEC2HEX(VLOOKUP(G58,Common!$C$51:$D$55,2,FALSE),1) &amp; DEC2HEX(1+2*VLOOKUP(H58,Common!$C$69:$D$72,2,FALSE),1) &amp; DEC2HEX(IFERROR(LOG(J58,2),0),1),0)</f>
        <v>0x03004111</v>
      </c>
      <c r="L58" s="29" t="str">
        <f t="shared" si="6"/>
        <v>COM_MB_ADDRESS</v>
      </c>
      <c r="M58" t="s">
        <v>234</v>
      </c>
      <c r="N58" s="29">
        <v>32</v>
      </c>
      <c r="O58" s="29">
        <v>32</v>
      </c>
      <c r="P58" s="29">
        <v>63</v>
      </c>
      <c r="Q58" s="29"/>
      <c r="R58" s="29" t="s">
        <v>232</v>
      </c>
      <c r="S58" s="29"/>
      <c r="T58" t="s">
        <v>235</v>
      </c>
    </row>
    <row r="59" spans="4:26" s="34" customFormat="1" x14ac:dyDescent="0.25">
      <c r="D59" s="40"/>
      <c r="E59" t="s">
        <v>236</v>
      </c>
      <c r="F59" s="3" t="s">
        <v>185</v>
      </c>
      <c r="G59" s="3" t="s">
        <v>48</v>
      </c>
      <c r="H59" s="3" t="s">
        <v>50</v>
      </c>
      <c r="I59" s="33">
        <f t="shared" si="2"/>
        <v>6</v>
      </c>
      <c r="J59" s="29">
        <v>2</v>
      </c>
      <c r="K59" s="10" t="str">
        <f xml:space="preserve"> IFERROR("0x" &amp; DEC2HEX(VLOOKUP(F59,Common!$C$10:$D$34,2,FALSE),2) &amp; DEC2HEX(I59,3) &amp; DEC2HEX(VLOOKUP(G59,Common!$C$51:$D$55,2,FALSE),1) &amp; DEC2HEX(1+2*VLOOKUP(H59,Common!$C$69:$D$72,2,FALSE),1) &amp; DEC2HEX(IFERROR(LOG(J59,2),0),1),0)</f>
        <v>0x03006151</v>
      </c>
      <c r="L59" s="29" t="str">
        <f t="shared" si="6"/>
        <v>COM_MB_APPLY</v>
      </c>
      <c r="M59" t="s">
        <v>237</v>
      </c>
      <c r="N59" s="29"/>
      <c r="O59" s="29">
        <v>0</v>
      </c>
      <c r="P59" s="29">
        <v>1</v>
      </c>
      <c r="Q59" s="29"/>
      <c r="R59" s="29"/>
      <c r="S59" s="29"/>
      <c r="T59" t="s">
        <v>238</v>
      </c>
    </row>
    <row r="60" spans="4:26" s="34" customFormat="1" x14ac:dyDescent="0.25">
      <c r="D60" s="40"/>
      <c r="E60" t="s">
        <v>239</v>
      </c>
      <c r="F60" s="3" t="s">
        <v>185</v>
      </c>
      <c r="G60" s="3" t="s">
        <v>48</v>
      </c>
      <c r="H60" s="3" t="s">
        <v>47</v>
      </c>
      <c r="I60" s="33">
        <f t="shared" si="2"/>
        <v>8</v>
      </c>
      <c r="J60" s="29">
        <v>2</v>
      </c>
      <c r="K60" s="10" t="str">
        <f xml:space="preserve"> IFERROR("0x" &amp; DEC2HEX(VLOOKUP(F60,Common!$C$10:$D$34,2,FALSE),2) &amp; DEC2HEX(I60,3) &amp; DEC2HEX(VLOOKUP(G60,Common!$C$51:$D$55,2,FALSE),1) &amp; DEC2HEX(1+2*VLOOKUP(H60,Common!$C$69:$D$72,2,FALSE),1) &amp; DEC2HEX(IFERROR(LOG(J60,2),0),1),0)</f>
        <v>0x03008171</v>
      </c>
      <c r="L60" s="29" t="str">
        <f t="shared" si="6"/>
        <v>COM_MB_TIMEOUT</v>
      </c>
      <c r="M60" t="s">
        <v>193</v>
      </c>
      <c r="N60" s="29">
        <v>10</v>
      </c>
      <c r="O60" s="29">
        <v>0</v>
      </c>
      <c r="P60" s="29">
        <v>7200</v>
      </c>
      <c r="Q60" s="3" t="s">
        <v>124</v>
      </c>
      <c r="R60" s="29"/>
      <c r="S60" s="29"/>
      <c r="T60" t="s">
        <v>240</v>
      </c>
    </row>
    <row r="61" spans="4:26" s="34" customFormat="1" x14ac:dyDescent="0.25">
      <c r="D61" s="40"/>
      <c r="F61" s="29"/>
      <c r="I61" s="33"/>
      <c r="K61" s="10"/>
      <c r="N61" s="29"/>
      <c r="O61" s="29"/>
      <c r="P61" s="29"/>
      <c r="Q61" s="29"/>
      <c r="R61" s="29"/>
    </row>
    <row r="62" spans="4:26" x14ac:dyDescent="0.25">
      <c r="E62"/>
      <c r="F62" s="3"/>
      <c r="G62" s="3"/>
      <c r="H62" s="3"/>
      <c r="I62" s="33"/>
      <c r="K62" s="10"/>
      <c r="L62" s="3"/>
      <c r="M62"/>
      <c r="N62" s="3"/>
      <c r="Q62" s="3"/>
      <c r="T62"/>
      <c r="Z62" s="34"/>
    </row>
    <row r="63" spans="4:26" s="34" customFormat="1" x14ac:dyDescent="0.25">
      <c r="D63" s="40"/>
    </row>
    <row r="64" spans="4:26" s="34" customFormat="1" x14ac:dyDescent="0.25">
      <c r="D64" s="40"/>
    </row>
    <row r="65" spans="1:35" s="34" customFormat="1" x14ac:dyDescent="0.25">
      <c r="D65" s="40"/>
    </row>
    <row r="66" spans="1:35" s="34" customFormat="1" x14ac:dyDescent="0.25">
      <c r="D66" s="40"/>
      <c r="E66" t="s">
        <v>246</v>
      </c>
      <c r="F66" s="3" t="s">
        <v>189</v>
      </c>
      <c r="G66" s="3" t="s">
        <v>114</v>
      </c>
      <c r="H66" s="3" t="s">
        <v>50</v>
      </c>
      <c r="I66" s="33">
        <f>I65+J65</f>
        <v>0</v>
      </c>
      <c r="J66" s="29">
        <v>1</v>
      </c>
      <c r="K66" s="10" t="str">
        <f xml:space="preserve"> IFERROR("0x" &amp; DEC2HEX(VLOOKUP(F66,Common!$C$10:$D$34,2,FALSE),2) &amp; DEC2HEX(I66,3) &amp; DEC2HEX(VLOOKUP(G66,Common!$C$51:$D$55,2,FALSE),1) &amp; DEC2HEX(1+2*VLOOKUP(H66,Common!$C$69:$D$72,2,FALSE),1) &amp; DEC2HEX(IFERROR(LOG(J66,2),0),1),0)</f>
        <v>0x05000550</v>
      </c>
      <c r="L66" s="29" t="str">
        <f t="shared" ref="L66" si="7">IF(AND(LEN(E66)&lt;&gt;0,S66=""),F66&amp;"_"&amp;UPPER(E66),"")</f>
        <v>RTD_MODE</v>
      </c>
      <c r="M66" t="s">
        <v>261</v>
      </c>
      <c r="N66" s="29"/>
      <c r="O66" s="29">
        <v>0</v>
      </c>
      <c r="P66" s="29">
        <v>2</v>
      </c>
      <c r="Q66" s="29"/>
      <c r="R66" s="3" t="s">
        <v>262</v>
      </c>
      <c r="T66" t="s">
        <v>263</v>
      </c>
    </row>
    <row r="67" spans="1:35" s="34" customFormat="1" x14ac:dyDescent="0.25">
      <c r="D67" s="40"/>
      <c r="E67"/>
      <c r="F67" s="3"/>
      <c r="G67" s="3"/>
      <c r="H67" s="3"/>
      <c r="I67" s="33">
        <f t="shared" ref="I67:I69" si="8">I66+J66</f>
        <v>1</v>
      </c>
      <c r="J67" s="29"/>
      <c r="K67" s="10">
        <f xml:space="preserve"> IFERROR("0x" &amp; DEC2HEX(VLOOKUP(F67,Common!$C$10:$D$34,2,FALSE),2) &amp; DEC2HEX(I67,3) &amp; DEC2HEX(VLOOKUP(G67,Common!$C$51:$D$55,2,FALSE),1) &amp; DEC2HEX(1+2*VLOOKUP(H67,Common!$C$69:$D$72,2,FALSE),1) &amp; DEC2HEX(IFERROR(LOG(J67,2),0),1),0)</f>
        <v>0</v>
      </c>
      <c r="L67" s="3" t="s">
        <v>274</v>
      </c>
      <c r="M67" t="s">
        <v>264</v>
      </c>
      <c r="N67" s="29"/>
      <c r="O67" s="29"/>
      <c r="P67" s="29"/>
      <c r="Q67" s="29"/>
      <c r="R67" s="29"/>
      <c r="T67" t="s">
        <v>265</v>
      </c>
    </row>
    <row r="68" spans="1:35" s="10" customFormat="1" x14ac:dyDescent="0.25">
      <c r="A68" s="12"/>
      <c r="B68" s="12"/>
      <c r="C68" s="12"/>
      <c r="D68"/>
      <c r="E68"/>
      <c r="F68" s="3"/>
      <c r="G68" s="3"/>
      <c r="H68" s="3"/>
      <c r="I68" s="33">
        <f t="shared" si="8"/>
        <v>1</v>
      </c>
      <c r="J68" s="29"/>
      <c r="K68" s="10">
        <f xml:space="preserve"> IFERROR("0x" &amp; DEC2HEX(VLOOKUP(F68,Common!$C$10:$D$34,2,FALSE),2) &amp; DEC2HEX(I68,3) &amp; DEC2HEX(VLOOKUP(G68,Common!$C$51:$D$55,2,FALSE),1) &amp; DEC2HEX(1+2*VLOOKUP(H68,Common!$C$69:$D$72,2,FALSE),1) &amp; DEC2HEX(IFERROR(LOG(J68,2),0),1),0)</f>
        <v>0</v>
      </c>
      <c r="L68" s="3" t="s">
        <v>275</v>
      </c>
      <c r="M68" t="s">
        <v>266</v>
      </c>
      <c r="N68" s="29"/>
      <c r="O68" s="29"/>
      <c r="P68" s="29"/>
      <c r="Q68" s="29"/>
      <c r="R68" s="29"/>
      <c r="S68" s="34"/>
      <c r="T68" t="s">
        <v>267</v>
      </c>
      <c r="U68" s="34"/>
      <c r="V68" s="34"/>
      <c r="W68" s="34"/>
      <c r="X68" s="34"/>
      <c r="Y68" s="34"/>
      <c r="Z68" s="34"/>
      <c r="AA68" s="12"/>
      <c r="AB68" s="12"/>
      <c r="AC68" s="12"/>
      <c r="AD68" s="12"/>
      <c r="AE68" s="12"/>
      <c r="AF68" s="12"/>
      <c r="AG68" s="12"/>
      <c r="AH68" s="12"/>
      <c r="AI68" s="12"/>
    </row>
    <row r="69" spans="1:35" s="34" customFormat="1" x14ac:dyDescent="0.25">
      <c r="D69" s="40"/>
      <c r="E69"/>
      <c r="F69" s="3"/>
      <c r="G69" s="3"/>
      <c r="H69" s="3"/>
      <c r="I69" s="33">
        <f t="shared" si="8"/>
        <v>1</v>
      </c>
      <c r="J69" s="29"/>
      <c r="K69" s="10">
        <f xml:space="preserve"> IFERROR("0x" &amp; DEC2HEX(VLOOKUP(F69,Common!$C$10:$D$34,2,FALSE),2) &amp; DEC2HEX(I69,3) &amp; DEC2HEX(VLOOKUP(G69,Common!$C$51:$D$55,2,FALSE),1) &amp; DEC2HEX(1+2*VLOOKUP(H69,Common!$C$69:$D$72,2,FALSE),1) &amp; DEC2HEX(IFERROR(LOG(J69,2),0),1),0)</f>
        <v>0</v>
      </c>
      <c r="L69" s="3" t="s">
        <v>276</v>
      </c>
      <c r="M69" t="s">
        <v>268</v>
      </c>
      <c r="N69" s="29"/>
      <c r="O69" s="29"/>
      <c r="P69" s="29"/>
      <c r="Q69" s="29"/>
      <c r="R69" s="29"/>
      <c r="T69" t="s">
        <v>269</v>
      </c>
    </row>
    <row r="70" spans="1:35" s="34" customFormat="1" x14ac:dyDescent="0.25">
      <c r="D70" s="40"/>
      <c r="E70" s="24" t="s">
        <v>293</v>
      </c>
      <c r="F70" s="23" t="s">
        <v>189</v>
      </c>
      <c r="G70" s="23" t="s">
        <v>114</v>
      </c>
      <c r="H70" s="26" t="s">
        <v>50</v>
      </c>
      <c r="I70" s="33">
        <f t="shared" ref="I70:I77" si="9">I69+J69</f>
        <v>1</v>
      </c>
      <c r="J70" s="29">
        <v>1</v>
      </c>
      <c r="K70" s="10" t="str">
        <f xml:space="preserve"> IFERROR("0x" &amp; DEC2HEX(VLOOKUP(F70,Common!$C$10:$D$34,2,FALSE),2) &amp; DEC2HEX(I70,3) &amp; DEC2HEX(VLOOKUP(G70,Common!$C$51:$D$55,2,FALSE),1) &amp; DEC2HEX(1+2*VLOOKUP(H70,Common!$C$69:$D$72,2,FALSE),1) &amp; DEC2HEX(IFERROR(LOG(J70,2),0),1),0)</f>
        <v>0x05001550</v>
      </c>
      <c r="L70" s="22" t="str">
        <f>IF(AND(LEN(E70)&lt;&gt;0,S70=""),F70&amp;"_"&amp;UPPER(E70),"")</f>
        <v>RTD_TEMP_CORRECTION</v>
      </c>
      <c r="M70" s="21" t="s">
        <v>286</v>
      </c>
      <c r="N70" s="22">
        <v>0</v>
      </c>
      <c r="O70" s="22">
        <v>0</v>
      </c>
      <c r="P70" s="22">
        <v>1</v>
      </c>
      <c r="Q70" s="23"/>
      <c r="R70" s="23"/>
      <c r="S70" s="22"/>
      <c r="T70" s="21" t="s">
        <v>294</v>
      </c>
      <c r="U70"/>
    </row>
    <row r="71" spans="1:35" s="34" customFormat="1" x14ac:dyDescent="0.25">
      <c r="D71" s="40"/>
      <c r="E71" s="24"/>
      <c r="F71" s="23" t="s">
        <v>189</v>
      </c>
      <c r="G71" s="23"/>
      <c r="H71" s="26"/>
      <c r="I71" s="33">
        <f t="shared" si="9"/>
        <v>2</v>
      </c>
      <c r="J71" s="22"/>
      <c r="K71" s="10">
        <f xml:space="preserve"> IFERROR("0x" &amp; DEC2HEX(VLOOKUP(F71,Common!$C$10:$D$34,2,FALSE),2) &amp; DEC2HEX(I71,3) &amp; DEC2HEX(VLOOKUP(G71,Common!$C$51:$D$55,2,FALSE),1) &amp; DEC2HEX(1+2*VLOOKUP(H71,Common!$C$69:$D$72,2,FALSE),1) &amp; DEC2HEX(IFERROR(LOG(J71,2),0),1),0)</f>
        <v>0</v>
      </c>
      <c r="L71" s="23" t="s">
        <v>288</v>
      </c>
      <c r="M71" s="21" t="s">
        <v>289</v>
      </c>
      <c r="N71" s="22"/>
      <c r="O71" s="22"/>
      <c r="P71" s="22"/>
      <c r="Q71" s="23"/>
      <c r="R71" s="23"/>
      <c r="S71" s="22"/>
      <c r="T71" s="21" t="s">
        <v>291</v>
      </c>
      <c r="U71"/>
    </row>
    <row r="72" spans="1:35" s="34" customFormat="1" x14ac:dyDescent="0.25">
      <c r="D72" s="40"/>
      <c r="F72" s="3" t="s">
        <v>189</v>
      </c>
      <c r="I72" s="33">
        <f t="shared" si="9"/>
        <v>2</v>
      </c>
      <c r="K72" s="10">
        <f xml:space="preserve"> IFERROR("0x" &amp; DEC2HEX(VLOOKUP(F72,Common!$C$10:$D$34,2,FALSE),2) &amp; DEC2HEX(I72,3) &amp; DEC2HEX(VLOOKUP(G72,Common!$C$51:$D$55,2,FALSE),1) &amp; DEC2HEX(1+2*VLOOKUP(H72,Common!$C$69:$D$72,2,FALSE),1) &amp; DEC2HEX(IFERROR(LOG(J72,2),0),1),0)</f>
        <v>0</v>
      </c>
      <c r="L72" s="23" t="s">
        <v>287</v>
      </c>
      <c r="M72" s="34" t="s">
        <v>290</v>
      </c>
      <c r="T72" s="21" t="s">
        <v>292</v>
      </c>
    </row>
    <row r="73" spans="1:35" s="34" customFormat="1" x14ac:dyDescent="0.25">
      <c r="D73" s="40"/>
      <c r="E73" t="s">
        <v>250</v>
      </c>
      <c r="F73" s="3" t="s">
        <v>189</v>
      </c>
      <c r="G73" s="3" t="s">
        <v>48</v>
      </c>
      <c r="H73" s="3" t="s">
        <v>50</v>
      </c>
      <c r="I73" s="33">
        <f t="shared" si="9"/>
        <v>2</v>
      </c>
      <c r="J73" s="29">
        <v>2</v>
      </c>
      <c r="K73" s="10" t="str">
        <f xml:space="preserve"> IFERROR("0x" &amp; DEC2HEX(VLOOKUP(F73,Common!$C$10:$D$34,2,FALSE),2) &amp; DEC2HEX(I73,3) &amp; DEC2HEX(VLOOKUP(G73,Common!$C$51:$D$55,2,FALSE),1) &amp; DEC2HEX(1+2*VLOOKUP(H73,Common!$C$69:$D$72,2,FALSE),1) &amp; DEC2HEX(IFERROR(LOG(J73,2),0),1),0)</f>
        <v>0x05002151</v>
      </c>
      <c r="L73" s="29" t="str">
        <f t="shared" ref="L73:L78" si="10">IF(AND(LEN(E73)&lt;&gt;0,S73=""),F73&amp;"_"&amp;UPPER(E73),"")</f>
        <v>RTD_NTC_BETA</v>
      </c>
      <c r="M73" t="s">
        <v>251</v>
      </c>
      <c r="N73" s="29">
        <v>3977</v>
      </c>
      <c r="O73" s="29">
        <v>3000</v>
      </c>
      <c r="P73" s="29">
        <v>5500</v>
      </c>
      <c r="Q73" s="29"/>
      <c r="R73" s="29"/>
      <c r="S73" s="29"/>
      <c r="T73" t="s">
        <v>252</v>
      </c>
      <c r="Z73" s="12"/>
    </row>
    <row r="74" spans="1:35" s="34" customFormat="1" x14ac:dyDescent="0.25">
      <c r="D74" s="40"/>
      <c r="E74" t="s">
        <v>253</v>
      </c>
      <c r="F74" s="3" t="s">
        <v>189</v>
      </c>
      <c r="G74" s="3" t="s">
        <v>48</v>
      </c>
      <c r="H74" s="3" t="s">
        <v>50</v>
      </c>
      <c r="I74" s="33">
        <f t="shared" si="9"/>
        <v>4</v>
      </c>
      <c r="J74" s="29">
        <v>2</v>
      </c>
      <c r="K74" s="10" t="str">
        <f xml:space="preserve"> IFERROR("0x" &amp; DEC2HEX(VLOOKUP(F74,Common!$C$10:$D$34,2,FALSE),2) &amp; DEC2HEX(I74,3) &amp; DEC2HEX(VLOOKUP(G74,Common!$C$51:$D$55,2,FALSE),1) &amp; DEC2HEX(1+2*VLOOKUP(H74,Common!$C$69:$D$72,2,FALSE),1) &amp; DEC2HEX(IFERROR(LOG(J74,2),0),1),0)</f>
        <v>0x05004151</v>
      </c>
      <c r="L74" s="29" t="str">
        <f t="shared" si="10"/>
        <v>RTD_NTC_STOCK_RES</v>
      </c>
      <c r="M74" t="s">
        <v>254</v>
      </c>
      <c r="N74" s="29">
        <v>10000</v>
      </c>
      <c r="O74" s="29">
        <v>1000</v>
      </c>
      <c r="P74" s="29">
        <v>10000</v>
      </c>
      <c r="Q74" s="3" t="s">
        <v>249</v>
      </c>
      <c r="R74" s="29"/>
      <c r="S74" s="29"/>
      <c r="T74" t="s">
        <v>255</v>
      </c>
      <c r="Z74" s="12"/>
    </row>
    <row r="75" spans="1:35" s="34" customFormat="1" x14ac:dyDescent="0.25">
      <c r="D75" s="40"/>
      <c r="E75" t="s">
        <v>256</v>
      </c>
      <c r="F75" s="3" t="s">
        <v>189</v>
      </c>
      <c r="G75" s="3" t="s">
        <v>48</v>
      </c>
      <c r="H75" s="3" t="s">
        <v>50</v>
      </c>
      <c r="I75" s="33">
        <f t="shared" si="9"/>
        <v>6</v>
      </c>
      <c r="J75" s="29">
        <v>2</v>
      </c>
      <c r="K75" s="10" t="str">
        <f xml:space="preserve"> IFERROR("0x" &amp; DEC2HEX(VLOOKUP(F75,Common!$C$10:$D$34,2,FALSE),2) &amp; DEC2HEX(I75,3) &amp; DEC2HEX(VLOOKUP(G75,Common!$C$51:$D$55,2,FALSE),1) &amp; DEC2HEX(1+2*VLOOKUP(H75,Common!$C$69:$D$72,2,FALSE),1) &amp; DEC2HEX(IFERROR(LOG(J75,2),0),1),0)</f>
        <v>0x05006151</v>
      </c>
      <c r="L75" s="29" t="str">
        <f t="shared" si="10"/>
        <v>RTD_PT_STOCK_RES</v>
      </c>
      <c r="M75" t="s">
        <v>257</v>
      </c>
      <c r="N75" s="29">
        <v>1000</v>
      </c>
      <c r="O75" s="29">
        <v>100</v>
      </c>
      <c r="P75" s="29">
        <v>1000</v>
      </c>
      <c r="Q75" s="3" t="s">
        <v>249</v>
      </c>
      <c r="R75" s="29"/>
      <c r="T75" t="s">
        <v>258</v>
      </c>
    </row>
    <row r="76" spans="1:35" s="34" customFormat="1" x14ac:dyDescent="0.25">
      <c r="D76" s="40"/>
      <c r="E76" t="s">
        <v>270</v>
      </c>
      <c r="F76" s="3" t="s">
        <v>189</v>
      </c>
      <c r="G76" s="3" t="s">
        <v>48</v>
      </c>
      <c r="H76" s="3" t="s">
        <v>50</v>
      </c>
      <c r="I76" s="33">
        <f t="shared" si="9"/>
        <v>8</v>
      </c>
      <c r="J76" s="29">
        <v>4</v>
      </c>
      <c r="K76" s="10" t="str">
        <f xml:space="preserve"> IFERROR("0x" &amp; DEC2HEX(VLOOKUP(F76,Common!$C$10:$D$34,2,FALSE),2) &amp; DEC2HEX(I76,3) &amp; DEC2HEX(VLOOKUP(G76,Common!$C$51:$D$55,2,FALSE),1) &amp; DEC2HEX(1+2*VLOOKUP(H76,Common!$C$69:$D$72,2,FALSE),1) &amp; DEC2HEX(IFERROR(LOG(J76,2),0),1),0)</f>
        <v>0x05008152</v>
      </c>
      <c r="L76" s="29" t="str">
        <f t="shared" si="10"/>
        <v>RTD_RESISTANCE</v>
      </c>
      <c r="M76" t="s">
        <v>272</v>
      </c>
      <c r="N76" s="29">
        <v>10000</v>
      </c>
      <c r="O76" s="3">
        <v>10</v>
      </c>
      <c r="P76" s="29">
        <v>290000</v>
      </c>
      <c r="Q76" s="3" t="s">
        <v>249</v>
      </c>
      <c r="R76" s="3" t="s">
        <v>248</v>
      </c>
      <c r="T76" t="s">
        <v>259</v>
      </c>
      <c r="Z76" s="12"/>
    </row>
    <row r="77" spans="1:35" s="34" customFormat="1" x14ac:dyDescent="0.25">
      <c r="D77" s="40"/>
      <c r="E77" t="s">
        <v>271</v>
      </c>
      <c r="F77" s="3" t="s">
        <v>189</v>
      </c>
      <c r="G77" s="3" t="s">
        <v>49</v>
      </c>
      <c r="H77" s="3" t="s">
        <v>50</v>
      </c>
      <c r="I77" s="33">
        <f t="shared" si="9"/>
        <v>12</v>
      </c>
      <c r="J77" s="29">
        <v>4</v>
      </c>
      <c r="K77" s="10" t="str">
        <f xml:space="preserve"> IFERROR("0x" &amp; DEC2HEX(VLOOKUP(F77,Common!$C$10:$D$34,2,FALSE),2) &amp; DEC2HEX(I77,3) &amp; DEC2HEX(VLOOKUP(G77,Common!$C$51:$D$55,2,FALSE),1) &amp; DEC2HEX(1+2*VLOOKUP(H77,Common!$C$69:$D$72,2,FALSE),1) &amp; DEC2HEX(IFERROR(LOG(J77,2),0),1),0)</f>
        <v>0x0500C252</v>
      </c>
      <c r="L77" s="29" t="str">
        <f t="shared" si="10"/>
        <v>RTD_TEMPERATURE</v>
      </c>
      <c r="M77" t="s">
        <v>273</v>
      </c>
      <c r="N77" s="29">
        <v>25</v>
      </c>
      <c r="O77" s="3">
        <v>-30</v>
      </c>
      <c r="P77" s="29">
        <v>200</v>
      </c>
      <c r="Q77" s="3" t="s">
        <v>247</v>
      </c>
      <c r="R77" s="3" t="s">
        <v>248</v>
      </c>
      <c r="T77" t="s">
        <v>260</v>
      </c>
      <c r="Z77" s="12"/>
    </row>
    <row r="78" spans="1:35" s="34" customFormat="1" x14ac:dyDescent="0.25">
      <c r="D78" s="40"/>
      <c r="E78" s="24" t="s">
        <v>298</v>
      </c>
      <c r="F78" s="3" t="s">
        <v>189</v>
      </c>
      <c r="G78" s="3" t="s">
        <v>114</v>
      </c>
      <c r="H78" s="3" t="s">
        <v>50</v>
      </c>
      <c r="I78" s="33">
        <f t="shared" ref="I78:I85" si="11">I77+J77</f>
        <v>16</v>
      </c>
      <c r="J78" s="3">
        <v>1</v>
      </c>
      <c r="K78" s="10" t="str">
        <f xml:space="preserve"> IFERROR("0x" &amp; DEC2HEX(VLOOKUP(F78,Common!$C$10:$D$34,2,FALSE),2) &amp; DEC2HEX(I78,3) &amp; DEC2HEX(VLOOKUP(G78,Common!$C$51:$D$55,2,FALSE),1) &amp; DEC2HEX(1+2*VLOOKUP(H78,Common!$C$69:$D$72,2,FALSE),1) &amp; DEC2HEX(IFERROR(LOG(J78,2),0),1),0)</f>
        <v>0x05010550</v>
      </c>
      <c r="L78" s="29" t="str">
        <f t="shared" si="10"/>
        <v>RTD_SLEWRATE_MODE</v>
      </c>
      <c r="M78" s="34" t="s">
        <v>301</v>
      </c>
      <c r="N78" s="22">
        <v>0</v>
      </c>
      <c r="O78" s="22">
        <v>0</v>
      </c>
      <c r="P78" s="22">
        <v>1</v>
      </c>
      <c r="Q78" s="3"/>
      <c r="R78" s="23"/>
      <c r="S78" s="22"/>
      <c r="T78" s="21" t="s">
        <v>309</v>
      </c>
      <c r="U78"/>
      <c r="V78"/>
      <c r="W78"/>
      <c r="X78"/>
      <c r="Y78"/>
    </row>
    <row r="79" spans="1:35" s="34" customFormat="1" x14ac:dyDescent="0.25">
      <c r="D79" s="40"/>
      <c r="I79" s="33">
        <f t="shared" si="11"/>
        <v>17</v>
      </c>
      <c r="K79" s="10">
        <f xml:space="preserve"> IFERROR("0x" &amp; DEC2HEX(VLOOKUP(F79,Common!$C$10:$D$34,2,FALSE),2) &amp; DEC2HEX(I79,3) &amp; DEC2HEX(VLOOKUP(G79,Common!$C$51:$D$55,2,FALSE),1) &amp; DEC2HEX(1+2*VLOOKUP(H79,Common!$C$69:$D$72,2,FALSE),1) &amp; DEC2HEX(IFERROR(LOG(J79,2),0),1),0)</f>
        <v>0</v>
      </c>
      <c r="L79" s="29" t="s">
        <v>299</v>
      </c>
      <c r="M79" s="21" t="s">
        <v>302</v>
      </c>
      <c r="N79" s="22"/>
      <c r="O79" s="22"/>
      <c r="P79" s="22"/>
      <c r="Q79" s="23"/>
      <c r="R79" s="23"/>
      <c r="S79" s="22"/>
      <c r="T79" s="21" t="s">
        <v>305</v>
      </c>
      <c r="U79"/>
      <c r="V79"/>
      <c r="W79"/>
      <c r="X79"/>
      <c r="Y79"/>
    </row>
    <row r="80" spans="1:35" s="10" customFormat="1" x14ac:dyDescent="0.25">
      <c r="I80" s="33">
        <f t="shared" si="11"/>
        <v>17</v>
      </c>
      <c r="K80" s="10">
        <f xml:space="preserve"> IFERROR("0x" &amp; DEC2HEX(VLOOKUP(F80,Common!$C$10:$D$34,2,FALSE),2) &amp; DEC2HEX(I80,3) &amp; DEC2HEX(VLOOKUP(G80,Common!$C$51:$D$55,2,FALSE),1) &amp; DEC2HEX(1+2*VLOOKUP(H80,Common!$C$69:$D$72,2,FALSE),1) &amp; DEC2HEX(IFERROR(LOG(J80,2),0),1),0)</f>
        <v>0</v>
      </c>
      <c r="L80" s="29" t="s">
        <v>300</v>
      </c>
      <c r="M80" s="2" t="s">
        <v>303</v>
      </c>
      <c r="T80" s="21" t="s">
        <v>306</v>
      </c>
      <c r="AB80" s="12"/>
      <c r="AC80" s="12"/>
      <c r="AD80" s="12"/>
      <c r="AE80" s="12"/>
      <c r="AF80" s="12"/>
      <c r="AG80" s="12"/>
      <c r="AH80" s="12"/>
      <c r="AI80" s="12"/>
    </row>
    <row r="81" spans="1:35" s="10" customFormat="1" x14ac:dyDescent="0.25">
      <c r="A81" s="12"/>
      <c r="B81" s="12"/>
      <c r="C81" s="12"/>
      <c r="D81"/>
      <c r="E81" s="24" t="s">
        <v>295</v>
      </c>
      <c r="F81" s="3" t="s">
        <v>189</v>
      </c>
      <c r="G81" s="23" t="s">
        <v>49</v>
      </c>
      <c r="H81" s="26" t="s">
        <v>50</v>
      </c>
      <c r="I81" s="33">
        <f t="shared" si="11"/>
        <v>17</v>
      </c>
      <c r="J81" s="29">
        <v>4</v>
      </c>
      <c r="K81" s="10" t="str">
        <f xml:space="preserve"> IFERROR("0x" &amp; DEC2HEX(VLOOKUP(F81,Common!$C$10:$D$34,2,FALSE),2) &amp; DEC2HEX(I81,3) &amp; DEC2HEX(VLOOKUP(G81,Common!$C$51:$D$55,2,FALSE),1) &amp; DEC2HEX(1+2*VLOOKUP(H81,Common!$C$69:$D$72,2,FALSE),1) &amp; DEC2HEX(IFERROR(LOG(J81,2),0),1),0)</f>
        <v>0x05011252</v>
      </c>
      <c r="L81" s="29" t="str">
        <f>IF(AND(LEN(E81)&lt;&gt;0,S78=""),F81&amp;"_"&amp;UPPER(E81),"")</f>
        <v>RTD_SLEWRATE</v>
      </c>
      <c r="M81" s="21" t="s">
        <v>308</v>
      </c>
      <c r="N81" s="3">
        <v>5</v>
      </c>
      <c r="O81" s="3">
        <v>0</v>
      </c>
      <c r="P81" s="3">
        <v>100</v>
      </c>
      <c r="Q81" s="3" t="s">
        <v>304</v>
      </c>
      <c r="R81" s="34"/>
      <c r="S81" s="34"/>
      <c r="T81" s="21" t="s">
        <v>307</v>
      </c>
      <c r="U81" s="34"/>
      <c r="V81" s="34"/>
      <c r="W81" s="34"/>
      <c r="X81" s="34"/>
      <c r="Y81" s="34"/>
      <c r="AA81" s="12"/>
      <c r="AB81" s="12"/>
      <c r="AC81" s="12"/>
      <c r="AD81" s="12"/>
      <c r="AE81" s="12"/>
      <c r="AF81" s="12"/>
      <c r="AG81" s="12"/>
      <c r="AH81" s="12"/>
      <c r="AI81" s="12"/>
    </row>
    <row r="82" spans="1:35" s="34" customFormat="1" x14ac:dyDescent="0.25">
      <c r="A82" s="12"/>
      <c r="B82" s="12"/>
      <c r="C82" s="12"/>
      <c r="D82"/>
      <c r="E82" s="24" t="s">
        <v>296</v>
      </c>
      <c r="F82" s="3" t="s">
        <v>189</v>
      </c>
      <c r="G82" s="23" t="s">
        <v>48</v>
      </c>
      <c r="H82" s="26" t="s">
        <v>50</v>
      </c>
      <c r="I82" s="33">
        <f t="shared" si="11"/>
        <v>21</v>
      </c>
      <c r="J82" s="22">
        <v>2</v>
      </c>
      <c r="K82" s="10" t="str">
        <f xml:space="preserve"> IFERROR("0x" &amp; DEC2HEX(VLOOKUP(F82,Common!$C$10:$D$34,2,FALSE),2) &amp; DEC2HEX(I82,3) &amp; DEC2HEX(VLOOKUP(G82,Common!$C$51:$D$55,2,FALSE),1) &amp; DEC2HEX(1+2*VLOOKUP(H82,Common!$C$69:$D$72,2,FALSE),1) &amp; DEC2HEX(IFERROR(LOG(J82,2),0),1),0)</f>
        <v>0x05015151</v>
      </c>
      <c r="L82" s="29" t="str">
        <f>IF(AND(LEN(E82)&lt;&gt;0,S79=""),F82&amp;"_"&amp;UPPER(E82),"")</f>
        <v>RTD_SLEWRATE_MAX</v>
      </c>
      <c r="M82" s="34" t="s">
        <v>312</v>
      </c>
      <c r="N82" s="3">
        <v>50</v>
      </c>
      <c r="O82" s="10">
        <v>-30</v>
      </c>
      <c r="P82" s="10">
        <v>200</v>
      </c>
      <c r="Q82" s="3" t="s">
        <v>247</v>
      </c>
      <c r="R82" s="10"/>
      <c r="S82" s="10"/>
      <c r="T82" s="34" t="s">
        <v>310</v>
      </c>
      <c r="U82" s="10"/>
      <c r="V82" s="10"/>
      <c r="W82" s="10"/>
      <c r="X82" s="10"/>
      <c r="Y82" s="10"/>
      <c r="Z82" s="10"/>
      <c r="AA82" s="12"/>
    </row>
    <row r="83" spans="1:35" s="10" customFormat="1" x14ac:dyDescent="0.25">
      <c r="A83" s="34"/>
      <c r="B83" s="34"/>
      <c r="C83" s="34"/>
      <c r="D83" s="40"/>
      <c r="E83" s="24" t="s">
        <v>297</v>
      </c>
      <c r="F83" s="3" t="s">
        <v>189</v>
      </c>
      <c r="G83" s="3" t="s">
        <v>48</v>
      </c>
      <c r="H83" s="3" t="s">
        <v>50</v>
      </c>
      <c r="I83" s="33">
        <f t="shared" si="11"/>
        <v>23</v>
      </c>
      <c r="J83" s="3">
        <v>2</v>
      </c>
      <c r="K83" s="10" t="str">
        <f xml:space="preserve"> IFERROR("0x" &amp; DEC2HEX(VLOOKUP(F83,Common!$C$10:$D$34,2,FALSE),2) &amp; DEC2HEX(I83,3) &amp; DEC2HEX(VLOOKUP(G83,Common!$C$51:$D$55,2,FALSE),1) &amp; DEC2HEX(1+2*VLOOKUP(H83,Common!$C$69:$D$72,2,FALSE),1) &amp; DEC2HEX(IFERROR(LOG(J83,2),0),1),0)</f>
        <v>0x05017151</v>
      </c>
      <c r="L83" s="29" t="str">
        <f>IF(AND(LEN(E83)&lt;&gt;0,S81=""),F83&amp;"_"&amp;UPPER(E83),"")</f>
        <v>RTD_SLEWRATE_MIN</v>
      </c>
      <c r="M83" s="34" t="s">
        <v>311</v>
      </c>
      <c r="N83" s="3">
        <v>15</v>
      </c>
      <c r="O83" s="3">
        <v>-30</v>
      </c>
      <c r="P83" s="3">
        <v>200</v>
      </c>
      <c r="Q83" s="3" t="s">
        <v>247</v>
      </c>
      <c r="R83" s="34"/>
      <c r="S83" s="34"/>
      <c r="T83" s="34" t="s">
        <v>313</v>
      </c>
      <c r="U83" s="34"/>
      <c r="V83" s="34"/>
      <c r="W83" s="34"/>
      <c r="X83" s="34"/>
      <c r="Y83" s="34"/>
      <c r="Z83" s="34"/>
      <c r="AA83" s="34"/>
      <c r="AB83" s="12"/>
      <c r="AC83" s="12"/>
      <c r="AD83" s="12"/>
      <c r="AE83" s="12"/>
      <c r="AF83" s="12"/>
      <c r="AG83" s="12"/>
      <c r="AH83" s="12"/>
      <c r="AI83" s="12"/>
    </row>
    <row r="84" spans="1:35" s="10" customFormat="1" x14ac:dyDescent="0.25">
      <c r="A84" s="12"/>
      <c r="B84" s="12"/>
      <c r="C84" s="12"/>
      <c r="D84"/>
      <c r="I84" s="33"/>
      <c r="AA84" s="12"/>
      <c r="AB84" s="12"/>
      <c r="AC84" s="12"/>
      <c r="AD84" s="12"/>
      <c r="AE84" s="12"/>
      <c r="AF84" s="12"/>
      <c r="AG84" s="12"/>
      <c r="AH84" s="12"/>
      <c r="AI84" s="12"/>
    </row>
    <row r="85" spans="1:35" s="10" customFormat="1" x14ac:dyDescent="0.25">
      <c r="A85" s="12"/>
      <c r="B85" s="12"/>
      <c r="C85" s="12"/>
      <c r="D85"/>
      <c r="E85" s="2" t="s">
        <v>241</v>
      </c>
      <c r="F85" s="3" t="s">
        <v>242</v>
      </c>
      <c r="G85" s="3" t="s">
        <v>48</v>
      </c>
      <c r="H85" s="3" t="s">
        <v>45</v>
      </c>
      <c r="I85" s="33">
        <f>I84+J84</f>
        <v>0</v>
      </c>
      <c r="J85" s="29">
        <v>4</v>
      </c>
      <c r="K85" s="10" t="str">
        <f xml:space="preserve"> IFERROR("0x" &amp; DEC2HEX(VLOOKUP(F85,Common!$C$10:$D$34,2,FALSE),2) &amp; DEC2HEX(I85,3) &amp; DEC2HEX(VLOOKUP(G85,Common!$C$51:$D$55,2,FALSE),1) &amp; DEC2HEX(1+2*VLOOKUP(H85,Common!$C$69:$D$72,2,FALSE),1) &amp; DEC2HEX(IFERROR(LOG(J85,2),0),1),0)</f>
        <v>0x06000112</v>
      </c>
      <c r="L85" s="29" t="str">
        <f>IF(AND(LEN(E85)&lt;&gt;0,S85=""),F85&amp;"_"&amp;UPPER(E85),"")</f>
        <v>DBG_WRITES_CONF</v>
      </c>
      <c r="M85" t="s">
        <v>243</v>
      </c>
      <c r="N85" s="29"/>
      <c r="O85" s="29">
        <v>0</v>
      </c>
      <c r="P85" s="29">
        <v>1000000</v>
      </c>
      <c r="Q85" s="3" t="s">
        <v>244</v>
      </c>
      <c r="R85" s="29"/>
      <c r="S85" s="29"/>
      <c r="T85" t="s">
        <v>245</v>
      </c>
      <c r="U85"/>
      <c r="V85"/>
      <c r="W85"/>
      <c r="X85"/>
      <c r="Y85"/>
      <c r="AA85" s="12"/>
      <c r="AB85" s="12"/>
      <c r="AC85" s="12"/>
      <c r="AD85" s="12"/>
      <c r="AE85" s="12"/>
      <c r="AF85" s="12"/>
      <c r="AG85" s="12"/>
      <c r="AH85" s="12"/>
      <c r="AI85" s="12"/>
    </row>
    <row r="86" spans="1:35" s="10" customFormat="1" x14ac:dyDescent="0.25">
      <c r="A86" s="12"/>
      <c r="B86" s="12"/>
      <c r="C86" s="12"/>
      <c r="D86"/>
      <c r="E86" s="24"/>
      <c r="F86" s="23"/>
      <c r="G86" s="23"/>
      <c r="H86" s="26"/>
      <c r="I86" s="22"/>
      <c r="J86" s="22"/>
      <c r="K86" s="22"/>
      <c r="L86" s="22"/>
      <c r="M86" s="21"/>
      <c r="N86" s="22"/>
      <c r="O86" s="22"/>
      <c r="P86" s="22"/>
      <c r="Q86" s="23"/>
      <c r="R86" s="23"/>
      <c r="S86" s="22"/>
      <c r="T86" s="21"/>
      <c r="U86"/>
      <c r="V86"/>
      <c r="W86"/>
      <c r="X86"/>
      <c r="Y86"/>
      <c r="Z86" s="12"/>
      <c r="AA86" s="12"/>
      <c r="AB86" s="12"/>
      <c r="AC86" s="12"/>
      <c r="AD86" s="12"/>
      <c r="AE86" s="12"/>
      <c r="AF86" s="12"/>
      <c r="AG86" s="12"/>
      <c r="AH86" s="12"/>
      <c r="AI86" s="12"/>
    </row>
    <row r="87" spans="1:35" s="10" customFormat="1" x14ac:dyDescent="0.25">
      <c r="A87" s="12"/>
      <c r="B87" s="12"/>
      <c r="C87" s="12"/>
      <c r="D87"/>
      <c r="E87" s="24"/>
      <c r="F87" s="23"/>
      <c r="G87" s="23"/>
      <c r="H87" s="26"/>
      <c r="I87" s="22"/>
      <c r="J87" s="22"/>
      <c r="K87" s="22"/>
      <c r="L87" s="22"/>
      <c r="M87" s="21"/>
      <c r="N87" s="22"/>
      <c r="O87" s="22"/>
      <c r="P87" s="22"/>
      <c r="Q87" s="23"/>
      <c r="R87" s="23"/>
      <c r="S87" s="22"/>
      <c r="T87" s="21"/>
      <c r="U87"/>
      <c r="V87"/>
      <c r="W87"/>
      <c r="X87"/>
      <c r="Y87"/>
      <c r="Z87" s="12"/>
      <c r="AA87" s="12"/>
      <c r="AB87" s="12"/>
      <c r="AC87" s="12"/>
      <c r="AD87" s="12"/>
      <c r="AE87" s="12"/>
      <c r="AF87" s="12"/>
      <c r="AG87" s="12"/>
      <c r="AH87" s="12"/>
      <c r="AI87" s="12"/>
    </row>
    <row r="88" spans="1:35" s="10" customFormat="1" x14ac:dyDescent="0.25">
      <c r="A88" s="12"/>
      <c r="B88" s="12"/>
      <c r="C88" s="12"/>
      <c r="D88"/>
      <c r="E88" s="24"/>
      <c r="F88" s="23"/>
      <c r="G88" s="23"/>
      <c r="H88" s="26"/>
      <c r="I88" s="22"/>
      <c r="J88" s="22"/>
      <c r="K88" s="22"/>
      <c r="L88" s="22"/>
      <c r="M88" s="21"/>
      <c r="N88" s="22"/>
      <c r="O88" s="22"/>
      <c r="P88" s="22"/>
      <c r="Q88" s="23"/>
      <c r="R88" s="23"/>
      <c r="S88" s="22"/>
      <c r="T88" s="21"/>
      <c r="U88"/>
      <c r="V88"/>
      <c r="W88"/>
      <c r="X88"/>
      <c r="Y88"/>
      <c r="Z88" s="12"/>
      <c r="AA88" s="12"/>
      <c r="AB88" s="12"/>
      <c r="AC88" s="12"/>
      <c r="AD88" s="12"/>
      <c r="AE88" s="12"/>
      <c r="AF88" s="12"/>
      <c r="AG88" s="12"/>
      <c r="AH88" s="12"/>
      <c r="AI88" s="12"/>
    </row>
    <row r="89" spans="1:35" s="10" customFormat="1" x14ac:dyDescent="0.25">
      <c r="A89" s="12"/>
      <c r="B89" s="12"/>
      <c r="C89" s="12"/>
      <c r="D89"/>
      <c r="E89" s="24"/>
      <c r="F89" s="23"/>
      <c r="G89" s="23"/>
      <c r="H89" s="26"/>
      <c r="I89" s="22"/>
      <c r="J89" s="22"/>
      <c r="K89" s="22"/>
      <c r="L89" s="22"/>
      <c r="M89" s="21"/>
      <c r="N89" s="22"/>
      <c r="O89" s="22"/>
      <c r="P89" s="22"/>
      <c r="Q89" s="23"/>
      <c r="R89" s="23"/>
      <c r="S89" s="22"/>
      <c r="T89" s="21"/>
      <c r="U89"/>
      <c r="V89"/>
      <c r="W89"/>
      <c r="X89"/>
      <c r="Y89"/>
      <c r="Z89" s="12"/>
      <c r="AA89" s="12"/>
      <c r="AB89" s="12"/>
      <c r="AC89" s="12"/>
      <c r="AD89" s="12"/>
      <c r="AE89" s="12"/>
      <c r="AF89" s="12"/>
      <c r="AG89" s="12"/>
      <c r="AH89" s="12"/>
      <c r="AI89" s="12"/>
    </row>
    <row r="90" spans="1:35" s="10" customFormat="1" x14ac:dyDescent="0.25">
      <c r="A90" s="12"/>
      <c r="B90" s="12"/>
      <c r="C90" s="12"/>
      <c r="D90"/>
      <c r="E90" s="24"/>
      <c r="F90" s="23"/>
      <c r="G90" s="23"/>
      <c r="H90" s="26"/>
      <c r="I90" s="22"/>
      <c r="J90" s="22"/>
      <c r="K90" s="22"/>
      <c r="L90" s="22"/>
      <c r="M90" s="21"/>
      <c r="N90" s="22"/>
      <c r="O90" s="22"/>
      <c r="P90" s="22"/>
      <c r="Q90" s="23"/>
      <c r="R90" s="23"/>
      <c r="S90" s="22"/>
      <c r="T90" s="21"/>
      <c r="U90"/>
      <c r="V90"/>
      <c r="W90"/>
      <c r="X90"/>
      <c r="Y90"/>
      <c r="Z90" s="12"/>
      <c r="AA90" s="12"/>
      <c r="AB90" s="12"/>
      <c r="AC90" s="12"/>
      <c r="AD90" s="12"/>
      <c r="AE90" s="12"/>
      <c r="AF90" s="12"/>
      <c r="AG90" s="12"/>
      <c r="AH90" s="12"/>
      <c r="AI90" s="12"/>
    </row>
    <row r="91" spans="1:35" s="10" customFormat="1" x14ac:dyDescent="0.25">
      <c r="A91" s="12"/>
      <c r="B91" s="12"/>
      <c r="C91" s="12"/>
      <c r="D91"/>
      <c r="E91" s="24"/>
      <c r="F91" s="23"/>
      <c r="G91" s="23"/>
      <c r="H91" s="26"/>
      <c r="I91" s="22"/>
      <c r="J91" s="22"/>
      <c r="K91" s="22"/>
      <c r="L91" s="22"/>
      <c r="M91" s="21"/>
      <c r="N91" s="22"/>
      <c r="O91" s="22"/>
      <c r="P91" s="22"/>
      <c r="Q91" s="23"/>
      <c r="R91" s="23"/>
      <c r="S91" s="22"/>
      <c r="T91" s="21"/>
      <c r="U91"/>
      <c r="V91"/>
      <c r="W91"/>
      <c r="X91"/>
      <c r="Y91"/>
      <c r="Z91" s="12"/>
      <c r="AA91" s="12"/>
      <c r="AB91" s="12"/>
      <c r="AC91" s="12"/>
      <c r="AD91" s="12"/>
      <c r="AE91" s="12"/>
      <c r="AF91" s="12"/>
      <c r="AG91" s="12"/>
      <c r="AH91" s="12"/>
      <c r="AI91" s="12"/>
    </row>
    <row r="92" spans="1:35" s="10" customFormat="1" x14ac:dyDescent="0.25">
      <c r="A92" s="12"/>
      <c r="B92" s="12"/>
      <c r="C92" s="12"/>
      <c r="D92"/>
      <c r="E92" s="24"/>
      <c r="F92" s="23"/>
      <c r="G92" s="23"/>
      <c r="H92" s="26"/>
      <c r="I92" s="22"/>
      <c r="J92" s="22"/>
      <c r="K92" s="22"/>
      <c r="L92" s="22"/>
      <c r="M92" s="21"/>
      <c r="N92" s="22"/>
      <c r="O92" s="22"/>
      <c r="P92" s="22"/>
      <c r="Q92" s="23"/>
      <c r="R92" s="23"/>
      <c r="S92" s="22"/>
      <c r="T92" s="21"/>
      <c r="U92"/>
      <c r="V92"/>
      <c r="W92"/>
      <c r="X92"/>
      <c r="Y92"/>
      <c r="Z92" s="12"/>
      <c r="AA92" s="12"/>
      <c r="AB92" s="12"/>
      <c r="AC92" s="12"/>
      <c r="AD92" s="12"/>
      <c r="AE92" s="12"/>
      <c r="AF92" s="12"/>
      <c r="AG92" s="12"/>
      <c r="AH92" s="12"/>
      <c r="AI92" s="12"/>
    </row>
    <row r="93" spans="1:35" s="10" customFormat="1" x14ac:dyDescent="0.25">
      <c r="A93" s="12"/>
      <c r="B93" s="12"/>
      <c r="C93" s="12"/>
      <c r="D93"/>
      <c r="E93" s="24"/>
      <c r="F93" s="23"/>
      <c r="G93" s="23"/>
      <c r="H93" s="26"/>
      <c r="I93" s="22"/>
      <c r="J93" s="22"/>
      <c r="K93" s="22"/>
      <c r="L93" s="22"/>
      <c r="M93" s="21"/>
      <c r="N93" s="22"/>
      <c r="O93" s="22"/>
      <c r="P93" s="22"/>
      <c r="Q93" s="23"/>
      <c r="R93" s="23"/>
      <c r="S93" s="22"/>
      <c r="T93" s="21"/>
      <c r="U93"/>
      <c r="V93"/>
      <c r="W93"/>
      <c r="X93"/>
      <c r="Y93"/>
      <c r="Z93" s="12"/>
      <c r="AA93" s="12"/>
      <c r="AB93" s="12"/>
      <c r="AC93" s="12"/>
      <c r="AD93" s="12"/>
      <c r="AE93" s="12"/>
      <c r="AF93" s="12"/>
      <c r="AG93" s="12"/>
      <c r="AH93" s="12"/>
      <c r="AI93" s="12"/>
    </row>
    <row r="94" spans="1:35" s="10" customFormat="1" x14ac:dyDescent="0.25">
      <c r="A94" s="12"/>
      <c r="B94" s="12"/>
      <c r="C94" s="12"/>
      <c r="D94"/>
      <c r="E94" s="24"/>
      <c r="F94" s="23"/>
      <c r="G94" s="23"/>
      <c r="H94" s="26"/>
      <c r="I94" s="22"/>
      <c r="J94" s="22"/>
      <c r="K94" s="22"/>
      <c r="L94" s="22"/>
      <c r="M94" s="21"/>
      <c r="N94" s="22"/>
      <c r="O94" s="22"/>
      <c r="P94" s="22"/>
      <c r="Q94" s="23"/>
      <c r="R94" s="23"/>
      <c r="S94" s="22"/>
      <c r="T94" s="21"/>
      <c r="U94"/>
      <c r="V94"/>
      <c r="W94"/>
      <c r="X94"/>
      <c r="Y94"/>
      <c r="Z94" s="12"/>
      <c r="AA94" s="12"/>
      <c r="AB94" s="12"/>
      <c r="AC94" s="12"/>
      <c r="AD94" s="12"/>
      <c r="AE94" s="12"/>
      <c r="AF94" s="12"/>
      <c r="AG94" s="12"/>
      <c r="AH94" s="12"/>
      <c r="AI94" s="12"/>
    </row>
    <row r="95" spans="1:35" s="10" customFormat="1" x14ac:dyDescent="0.25">
      <c r="A95" s="12"/>
      <c r="B95" s="12"/>
      <c r="C95" s="12"/>
      <c r="D95"/>
      <c r="E95" s="24"/>
      <c r="F95" s="23"/>
      <c r="G95" s="23"/>
      <c r="H95" s="26"/>
      <c r="I95" s="22"/>
      <c r="J95" s="22"/>
      <c r="K95" s="22"/>
      <c r="L95" s="22"/>
      <c r="M95" s="21"/>
      <c r="N95" s="22"/>
      <c r="O95" s="22"/>
      <c r="P95" s="22"/>
      <c r="Q95" s="23"/>
      <c r="R95" s="23"/>
      <c r="S95" s="22"/>
      <c r="T95" s="21"/>
      <c r="U95"/>
      <c r="V95"/>
      <c r="W95"/>
      <c r="X95"/>
      <c r="Y95"/>
      <c r="Z95" s="12"/>
      <c r="AA95" s="12"/>
      <c r="AB95" s="12"/>
      <c r="AC95" s="12"/>
      <c r="AD95" s="12"/>
      <c r="AE95" s="12"/>
      <c r="AF95" s="12"/>
      <c r="AG95" s="12"/>
      <c r="AH95" s="12"/>
      <c r="AI95" s="12"/>
    </row>
    <row r="96" spans="1:35" s="10" customFormat="1" x14ac:dyDescent="0.25">
      <c r="A96" s="12"/>
      <c r="B96" s="12"/>
      <c r="C96" s="12"/>
      <c r="D96"/>
      <c r="E96" s="24"/>
      <c r="F96" s="23"/>
      <c r="G96" s="23"/>
      <c r="H96" s="26"/>
      <c r="I96" s="22"/>
      <c r="J96" s="22"/>
      <c r="K96" s="22"/>
      <c r="L96" s="22"/>
      <c r="M96" s="21"/>
      <c r="N96" s="22"/>
      <c r="O96" s="22"/>
      <c r="P96" s="22"/>
      <c r="Q96" s="23"/>
      <c r="R96" s="23"/>
      <c r="S96" s="22"/>
      <c r="T96" s="21"/>
      <c r="U96"/>
      <c r="V96"/>
      <c r="W96"/>
      <c r="X96"/>
      <c r="Y96"/>
      <c r="Z96" s="12"/>
      <c r="AA96" s="12"/>
      <c r="AB96" s="12"/>
      <c r="AC96" s="12"/>
      <c r="AD96" s="12"/>
      <c r="AE96" s="12"/>
      <c r="AF96" s="12"/>
      <c r="AG96" s="12"/>
      <c r="AH96" s="12"/>
      <c r="AI96" s="12"/>
    </row>
    <row r="97" spans="1:35" s="10" customFormat="1" x14ac:dyDescent="0.25">
      <c r="A97" s="12"/>
      <c r="B97" s="12"/>
      <c r="C97" s="12"/>
      <c r="D97"/>
      <c r="E97" s="24"/>
      <c r="F97" s="23"/>
      <c r="G97" s="23"/>
      <c r="H97" s="26"/>
      <c r="I97" s="22"/>
      <c r="J97" s="22"/>
      <c r="K97" s="22"/>
      <c r="L97" s="22"/>
      <c r="M97" s="21"/>
      <c r="N97" s="22"/>
      <c r="O97" s="22"/>
      <c r="P97" s="22"/>
      <c r="Q97" s="23"/>
      <c r="R97" s="23"/>
      <c r="S97" s="22"/>
      <c r="T97" s="21"/>
      <c r="U97"/>
      <c r="V97"/>
      <c r="W97"/>
      <c r="X97"/>
      <c r="Y97"/>
      <c r="Z97" s="12"/>
      <c r="AA97" s="12"/>
      <c r="AB97" s="12"/>
      <c r="AC97" s="12"/>
      <c r="AD97" s="12"/>
      <c r="AE97" s="12"/>
      <c r="AF97" s="12"/>
      <c r="AG97" s="12"/>
      <c r="AH97" s="12"/>
      <c r="AI97" s="12"/>
    </row>
    <row r="98" spans="1:35" s="10" customFormat="1" x14ac:dyDescent="0.25">
      <c r="A98" s="12"/>
      <c r="B98" s="12"/>
      <c r="C98" s="12"/>
      <c r="D98"/>
      <c r="E98" s="24"/>
      <c r="F98" s="23"/>
      <c r="G98" s="23"/>
      <c r="H98" s="26"/>
      <c r="I98" s="22"/>
      <c r="J98" s="22"/>
      <c r="K98" s="22"/>
      <c r="L98" s="22"/>
      <c r="M98" s="21"/>
      <c r="N98" s="22"/>
      <c r="O98" s="22"/>
      <c r="P98" s="22"/>
      <c r="Q98" s="23"/>
      <c r="R98" s="23"/>
      <c r="S98" s="22"/>
      <c r="T98" s="21"/>
      <c r="U98"/>
      <c r="V98"/>
      <c r="W98"/>
      <c r="X98"/>
      <c r="Y98"/>
      <c r="Z98" s="12"/>
      <c r="AA98" s="12"/>
      <c r="AB98" s="12"/>
      <c r="AC98" s="12"/>
      <c r="AD98" s="12"/>
      <c r="AE98" s="12"/>
      <c r="AF98" s="12"/>
      <c r="AG98" s="12"/>
      <c r="AH98" s="12"/>
      <c r="AI98" s="12"/>
    </row>
    <row r="99" spans="1:35" s="10" customFormat="1" x14ac:dyDescent="0.25">
      <c r="A99" s="12"/>
      <c r="B99" s="12"/>
      <c r="C99" s="12"/>
      <c r="D99"/>
      <c r="E99" s="24"/>
      <c r="F99" s="23"/>
      <c r="G99" s="23"/>
      <c r="H99" s="26"/>
      <c r="I99" s="22"/>
      <c r="J99" s="22"/>
      <c r="K99" s="22"/>
      <c r="L99" s="22"/>
      <c r="M99" s="21"/>
      <c r="N99" s="22"/>
      <c r="O99" s="22"/>
      <c r="P99" s="22"/>
      <c r="Q99" s="23"/>
      <c r="R99" s="23"/>
      <c r="S99" s="22"/>
      <c r="T99" s="21"/>
      <c r="U99"/>
      <c r="V99"/>
      <c r="W99"/>
      <c r="X99"/>
      <c r="Y99"/>
      <c r="Z99" s="12"/>
      <c r="AA99" s="12"/>
      <c r="AB99" s="12"/>
      <c r="AC99" s="12"/>
      <c r="AD99" s="12"/>
      <c r="AE99" s="12"/>
      <c r="AF99" s="12"/>
      <c r="AG99" s="12"/>
      <c r="AH99" s="12"/>
      <c r="AI99" s="12"/>
    </row>
    <row r="100" spans="1:35" s="10" customFormat="1" x14ac:dyDescent="0.25">
      <c r="A100" s="12"/>
      <c r="B100" s="12"/>
      <c r="C100" s="12"/>
      <c r="D100"/>
      <c r="E100" s="24"/>
      <c r="F100" s="23"/>
      <c r="G100" s="23"/>
      <c r="H100" s="26"/>
      <c r="I100" s="22"/>
      <c r="J100" s="22"/>
      <c r="K100" s="22"/>
      <c r="L100" s="22"/>
      <c r="M100" s="21"/>
      <c r="N100" s="22"/>
      <c r="O100" s="22"/>
      <c r="P100" s="22"/>
      <c r="Q100" s="23"/>
      <c r="R100" s="23"/>
      <c r="S100" s="22"/>
      <c r="T100" s="21"/>
      <c r="U100"/>
      <c r="V100"/>
      <c r="W100"/>
      <c r="X100"/>
      <c r="Y100"/>
      <c r="Z100" s="12"/>
      <c r="AA100" s="12"/>
      <c r="AB100" s="12"/>
      <c r="AC100" s="12"/>
      <c r="AD100" s="12"/>
      <c r="AE100" s="12"/>
      <c r="AF100" s="12"/>
      <c r="AG100" s="12"/>
      <c r="AH100" s="12"/>
      <c r="AI100" s="12"/>
    </row>
    <row r="101" spans="1:35" s="10" customFormat="1" x14ac:dyDescent="0.25">
      <c r="A101" s="12"/>
      <c r="B101" s="12"/>
      <c r="C101" s="12"/>
      <c r="D101"/>
      <c r="E101" s="24"/>
      <c r="F101" s="23"/>
      <c r="G101" s="23"/>
      <c r="H101" s="26"/>
      <c r="I101" s="22"/>
      <c r="J101" s="22"/>
      <c r="K101" s="22"/>
      <c r="L101" s="22"/>
      <c r="M101" s="21"/>
      <c r="N101" s="22"/>
      <c r="O101" s="22"/>
      <c r="P101" s="22"/>
      <c r="Q101" s="23"/>
      <c r="R101" s="23"/>
      <c r="S101" s="22"/>
      <c r="T101" s="21"/>
      <c r="U101"/>
      <c r="V101"/>
      <c r="W101"/>
      <c r="X101"/>
      <c r="Y101"/>
      <c r="Z101" s="12"/>
      <c r="AA101" s="12"/>
      <c r="AB101" s="12"/>
      <c r="AC101" s="12"/>
      <c r="AD101" s="12"/>
      <c r="AE101" s="12"/>
      <c r="AF101" s="12"/>
      <c r="AG101" s="12"/>
      <c r="AH101" s="12"/>
      <c r="AI101" s="12"/>
    </row>
    <row r="102" spans="1:35" s="10" customFormat="1" x14ac:dyDescent="0.25">
      <c r="A102" s="12"/>
      <c r="B102" s="12"/>
      <c r="C102" s="12"/>
      <c r="D102"/>
      <c r="E102" s="24"/>
      <c r="F102" s="23"/>
      <c r="G102" s="23"/>
      <c r="H102" s="26"/>
      <c r="I102" s="22"/>
      <c r="J102" s="22"/>
      <c r="K102" s="22"/>
      <c r="L102" s="22"/>
      <c r="M102" s="21"/>
      <c r="N102" s="22"/>
      <c r="O102" s="22"/>
      <c r="P102" s="22"/>
      <c r="Q102" s="23"/>
      <c r="R102" s="23"/>
      <c r="S102" s="22"/>
      <c r="T102" s="21"/>
      <c r="U102"/>
      <c r="V102"/>
      <c r="W102"/>
      <c r="X102"/>
      <c r="Y102"/>
      <c r="Z102" s="12"/>
      <c r="AA102" s="12"/>
      <c r="AB102" s="12"/>
      <c r="AC102" s="12"/>
      <c r="AD102" s="12"/>
      <c r="AE102" s="12"/>
      <c r="AF102" s="12"/>
      <c r="AG102" s="12"/>
      <c r="AH102" s="12"/>
      <c r="AI102" s="12"/>
    </row>
    <row r="103" spans="1:35" s="10" customFormat="1" x14ac:dyDescent="0.25">
      <c r="A103" s="12"/>
      <c r="B103" s="12"/>
      <c r="C103" s="12"/>
      <c r="D103"/>
      <c r="E103" s="24"/>
      <c r="F103" s="23"/>
      <c r="G103" s="23"/>
      <c r="H103" s="26"/>
      <c r="I103" s="22"/>
      <c r="J103" s="22"/>
      <c r="K103" s="22"/>
      <c r="L103" s="22"/>
      <c r="M103" s="21"/>
      <c r="N103" s="22"/>
      <c r="O103" s="22"/>
      <c r="P103" s="22"/>
      <c r="Q103" s="23"/>
      <c r="R103" s="23"/>
      <c r="S103" s="22"/>
      <c r="T103" s="21"/>
      <c r="U103"/>
      <c r="V103"/>
      <c r="W103"/>
      <c r="X103"/>
      <c r="Y103"/>
      <c r="Z103" s="12"/>
      <c r="AA103" s="12"/>
      <c r="AB103" s="12"/>
      <c r="AC103" s="12"/>
      <c r="AD103" s="12"/>
      <c r="AE103" s="12"/>
      <c r="AF103" s="12"/>
      <c r="AG103" s="12"/>
      <c r="AH103" s="12"/>
      <c r="AI103" s="12"/>
    </row>
    <row r="104" spans="1:35" s="10" customFormat="1" x14ac:dyDescent="0.25">
      <c r="A104" s="12"/>
      <c r="B104" s="12"/>
      <c r="C104" s="12"/>
      <c r="D104"/>
      <c r="E104" s="24"/>
      <c r="F104" s="23"/>
      <c r="G104" s="23"/>
      <c r="H104" s="26"/>
      <c r="I104" s="22"/>
      <c r="J104" s="22"/>
      <c r="K104" s="22"/>
      <c r="L104" s="22"/>
      <c r="M104" s="21"/>
      <c r="N104" s="22"/>
      <c r="O104" s="22"/>
      <c r="P104" s="22"/>
      <c r="Q104" s="23"/>
      <c r="R104" s="23"/>
      <c r="S104" s="22"/>
      <c r="T104" s="21"/>
      <c r="U104"/>
      <c r="V104"/>
      <c r="W104"/>
      <c r="X104"/>
      <c r="Y104"/>
      <c r="Z104" s="12"/>
      <c r="AA104" s="12"/>
      <c r="AB104" s="12"/>
      <c r="AC104" s="12"/>
      <c r="AD104" s="12"/>
      <c r="AE104" s="12"/>
      <c r="AF104" s="12"/>
      <c r="AG104" s="12"/>
      <c r="AH104" s="12"/>
      <c r="AI104" s="12"/>
    </row>
    <row r="105" spans="1:35" s="10" customFormat="1" x14ac:dyDescent="0.25">
      <c r="A105" s="12"/>
      <c r="B105" s="12"/>
      <c r="C105" s="12"/>
      <c r="D105"/>
      <c r="E105" s="24"/>
      <c r="F105" s="23"/>
      <c r="G105" s="23"/>
      <c r="H105" s="26"/>
      <c r="I105" s="22"/>
      <c r="J105" s="22"/>
      <c r="K105" s="22"/>
      <c r="L105" s="22"/>
      <c r="M105" s="21"/>
      <c r="N105" s="22"/>
      <c r="O105" s="22"/>
      <c r="P105" s="22"/>
      <c r="Q105" s="23"/>
      <c r="R105" s="23"/>
      <c r="S105" s="22"/>
      <c r="T105" s="21"/>
      <c r="U105"/>
      <c r="V105"/>
      <c r="W105"/>
      <c r="X105"/>
      <c r="Y105"/>
      <c r="Z105" s="12"/>
      <c r="AA105" s="12"/>
      <c r="AB105" s="12"/>
      <c r="AC105" s="12"/>
      <c r="AD105" s="12"/>
      <c r="AE105" s="12"/>
      <c r="AF105" s="12"/>
      <c r="AG105" s="12"/>
      <c r="AH105" s="12"/>
      <c r="AI105" s="12"/>
    </row>
    <row r="106" spans="1:35" s="10" customFormat="1" x14ac:dyDescent="0.25">
      <c r="A106" s="12"/>
      <c r="B106" s="12"/>
      <c r="C106" s="12"/>
      <c r="D106"/>
      <c r="E106" s="24"/>
      <c r="F106" s="23"/>
      <c r="G106" s="22"/>
      <c r="H106" s="25"/>
      <c r="I106" s="22"/>
      <c r="J106" s="22"/>
      <c r="K106" s="22"/>
      <c r="L106" s="22"/>
      <c r="M106" s="24"/>
      <c r="N106" s="22"/>
      <c r="O106" s="22"/>
      <c r="P106" s="22"/>
      <c r="Q106" s="22"/>
      <c r="R106" s="22"/>
      <c r="S106" s="22"/>
      <c r="T106" s="19"/>
      <c r="U106"/>
      <c r="V106"/>
      <c r="W106"/>
      <c r="X106"/>
      <c r="Y106"/>
      <c r="Z106" s="12"/>
      <c r="AA106" s="12"/>
      <c r="AB106" s="12"/>
      <c r="AC106" s="12"/>
      <c r="AD106" s="12"/>
      <c r="AE106" s="12"/>
      <c r="AF106" s="12"/>
      <c r="AG106" s="12"/>
      <c r="AH106" s="12"/>
      <c r="AI106" s="12"/>
    </row>
    <row r="107" spans="1:35" s="10" customFormat="1" x14ac:dyDescent="0.25">
      <c r="A107" s="12"/>
      <c r="B107" s="12"/>
      <c r="C107" s="12"/>
      <c r="D107"/>
      <c r="E107" s="24"/>
      <c r="F107" s="23"/>
      <c r="G107" s="22"/>
      <c r="H107" s="22"/>
      <c r="I107" s="22"/>
      <c r="J107" s="22"/>
      <c r="K107" s="22"/>
      <c r="L107" s="22"/>
      <c r="M107" s="21"/>
      <c r="N107" s="22"/>
      <c r="O107" s="22"/>
      <c r="P107" s="22"/>
      <c r="Q107" s="22"/>
      <c r="R107" s="22"/>
      <c r="S107" s="22"/>
      <c r="T107" s="19"/>
      <c r="U107"/>
      <c r="V107"/>
      <c r="W107"/>
      <c r="X107"/>
      <c r="Y107"/>
      <c r="Z107" s="12"/>
      <c r="AA107" s="12"/>
      <c r="AB107" s="12"/>
      <c r="AC107" s="12"/>
      <c r="AD107" s="12"/>
      <c r="AE107" s="12"/>
      <c r="AF107" s="12"/>
      <c r="AG107" s="12"/>
      <c r="AH107" s="12"/>
      <c r="AI107" s="12"/>
    </row>
    <row r="108" spans="1:35" s="10" customFormat="1" x14ac:dyDescent="0.25">
      <c r="A108" s="12"/>
      <c r="B108" s="12"/>
      <c r="C108" s="12"/>
      <c r="D108"/>
      <c r="E108" s="24"/>
      <c r="F108" s="23"/>
      <c r="G108" s="23"/>
      <c r="H108" s="26"/>
      <c r="I108" s="22"/>
      <c r="J108" s="22"/>
      <c r="K108" s="22"/>
      <c r="L108" s="22"/>
      <c r="M108" s="24"/>
      <c r="N108" s="22"/>
      <c r="O108" s="22"/>
      <c r="P108" s="22"/>
      <c r="Q108" s="22"/>
      <c r="R108" s="28"/>
      <c r="S108" s="22"/>
      <c r="T108" s="24"/>
      <c r="U108"/>
      <c r="V108"/>
      <c r="W108"/>
      <c r="X108"/>
      <c r="Y108"/>
      <c r="Z108" s="12"/>
      <c r="AA108" s="12"/>
      <c r="AB108" s="12"/>
      <c r="AC108" s="12"/>
      <c r="AD108" s="12"/>
      <c r="AE108" s="12"/>
      <c r="AF108" s="12"/>
      <c r="AG108" s="12"/>
      <c r="AH108" s="12"/>
      <c r="AI108" s="12"/>
    </row>
    <row r="109" spans="1:35" s="10" customFormat="1" x14ac:dyDescent="0.25">
      <c r="A109" s="12"/>
      <c r="B109" s="12"/>
      <c r="C109" s="12"/>
      <c r="D109"/>
      <c r="E109" s="19"/>
      <c r="F109" s="23"/>
      <c r="G109" s="22"/>
      <c r="H109" s="22"/>
      <c r="I109" s="22"/>
      <c r="J109" s="22"/>
      <c r="K109" s="22"/>
      <c r="L109" s="23"/>
      <c r="M109" s="24"/>
      <c r="N109" s="22"/>
      <c r="O109" s="22"/>
      <c r="P109" s="22"/>
      <c r="Q109" s="22"/>
      <c r="R109" s="28"/>
      <c r="S109" s="22"/>
      <c r="T109" s="24"/>
      <c r="U109"/>
      <c r="V109"/>
      <c r="W109"/>
      <c r="X109"/>
      <c r="Y109"/>
      <c r="Z109" s="12"/>
      <c r="AA109" s="12"/>
      <c r="AB109" s="12"/>
      <c r="AC109" s="12"/>
      <c r="AD109" s="12"/>
      <c r="AE109" s="12"/>
      <c r="AF109" s="12"/>
      <c r="AG109" s="12"/>
      <c r="AH109" s="12"/>
      <c r="AI109" s="12"/>
    </row>
    <row r="110" spans="1:35" s="10" customFormat="1" x14ac:dyDescent="0.25">
      <c r="A110" s="12"/>
      <c r="B110" s="12"/>
      <c r="C110" s="12"/>
      <c r="D110"/>
      <c r="E110" s="19"/>
      <c r="F110" s="23"/>
      <c r="G110" s="22"/>
      <c r="H110" s="25"/>
      <c r="I110" s="22"/>
      <c r="J110" s="22"/>
      <c r="K110" s="22"/>
      <c r="L110" s="23"/>
      <c r="M110" s="24"/>
      <c r="N110" s="22"/>
      <c r="O110" s="22"/>
      <c r="P110" s="22"/>
      <c r="Q110" s="22"/>
      <c r="R110" s="28"/>
      <c r="S110" s="22"/>
      <c r="T110" s="24"/>
      <c r="U110"/>
      <c r="V110"/>
      <c r="W110"/>
      <c r="X110"/>
      <c r="Y110"/>
      <c r="Z110" s="12"/>
      <c r="AA110" s="12"/>
      <c r="AB110" s="12"/>
      <c r="AC110" s="12"/>
      <c r="AD110" s="12"/>
      <c r="AE110" s="12"/>
      <c r="AF110" s="12"/>
      <c r="AG110" s="12"/>
      <c r="AH110" s="12"/>
      <c r="AI110" s="12"/>
    </row>
    <row r="111" spans="1:35" s="10" customFormat="1" x14ac:dyDescent="0.25">
      <c r="A111" s="12"/>
      <c r="B111" s="12"/>
      <c r="C111" s="12"/>
      <c r="D111"/>
      <c r="E111" s="19"/>
      <c r="F111" s="23"/>
      <c r="G111" s="22"/>
      <c r="H111" s="22"/>
      <c r="I111" s="22"/>
      <c r="J111" s="22"/>
      <c r="K111" s="22"/>
      <c r="L111" s="23"/>
      <c r="M111" s="24"/>
      <c r="N111" s="22"/>
      <c r="O111" s="22"/>
      <c r="P111" s="22"/>
      <c r="Q111" s="22"/>
      <c r="R111" s="28"/>
      <c r="S111" s="22"/>
      <c r="T111" s="24"/>
      <c r="U111"/>
      <c r="V111"/>
      <c r="W111"/>
      <c r="X111"/>
      <c r="Y111"/>
      <c r="Z111" s="12"/>
      <c r="AA111" s="12"/>
      <c r="AB111" s="12"/>
      <c r="AC111" s="12"/>
      <c r="AD111" s="12"/>
      <c r="AE111" s="12"/>
      <c r="AF111" s="12"/>
      <c r="AG111" s="12"/>
      <c r="AH111" s="12"/>
      <c r="AI111" s="12"/>
    </row>
    <row r="112" spans="1:35" s="10" customFormat="1" x14ac:dyDescent="0.25">
      <c r="A112" s="12"/>
      <c r="B112" s="12"/>
      <c r="C112" s="12"/>
      <c r="D112"/>
      <c r="E112" s="19"/>
      <c r="F112" s="23"/>
      <c r="G112" s="22"/>
      <c r="H112" s="22"/>
      <c r="I112" s="22"/>
      <c r="J112" s="22"/>
      <c r="K112" s="22"/>
      <c r="L112" s="23"/>
      <c r="M112" s="24"/>
      <c r="N112" s="22"/>
      <c r="O112" s="22"/>
      <c r="P112" s="22"/>
      <c r="Q112" s="22"/>
      <c r="R112" s="28"/>
      <c r="S112" s="22"/>
      <c r="T112" s="24"/>
      <c r="U112"/>
      <c r="V112"/>
      <c r="W112"/>
      <c r="X112"/>
      <c r="Y112"/>
      <c r="Z112" s="12"/>
      <c r="AA112" s="12"/>
      <c r="AB112" s="12"/>
      <c r="AC112" s="12"/>
      <c r="AD112" s="12"/>
      <c r="AE112" s="12"/>
      <c r="AF112" s="12"/>
      <c r="AG112" s="12"/>
      <c r="AH112" s="12"/>
      <c r="AI112" s="12"/>
    </row>
    <row r="113" spans="1:35" s="10" customFormat="1" x14ac:dyDescent="0.25">
      <c r="A113" s="12"/>
      <c r="B113" s="12"/>
      <c r="C113" s="12"/>
      <c r="D113"/>
      <c r="E113" s="24"/>
      <c r="F113" s="23"/>
      <c r="G113" s="23"/>
      <c r="H113" s="23"/>
      <c r="I113" s="22"/>
      <c r="J113" s="22"/>
      <c r="K113" s="22"/>
      <c r="L113" s="22"/>
      <c r="M113" s="24"/>
      <c r="N113" s="22"/>
      <c r="O113" s="22"/>
      <c r="P113" s="22"/>
      <c r="Q113" s="22"/>
      <c r="R113" s="28"/>
      <c r="S113" s="22"/>
      <c r="T113" s="24"/>
      <c r="U113"/>
      <c r="V113"/>
      <c r="W113"/>
      <c r="X113"/>
      <c r="Y113"/>
      <c r="Z113" s="12"/>
      <c r="AA113" s="12"/>
      <c r="AB113" s="12"/>
      <c r="AC113" s="12"/>
      <c r="AD113" s="12"/>
      <c r="AE113" s="12"/>
      <c r="AF113" s="12"/>
      <c r="AG113" s="12"/>
      <c r="AH113" s="12"/>
      <c r="AI113" s="12"/>
    </row>
    <row r="114" spans="1:35" s="10" customFormat="1" x14ac:dyDescent="0.25">
      <c r="A114" s="12"/>
      <c r="B114" s="12"/>
      <c r="C114" s="12"/>
      <c r="D114"/>
      <c r="E114" s="19"/>
      <c r="F114" s="23"/>
      <c r="G114" s="22"/>
      <c r="H114" s="22"/>
      <c r="I114" s="22"/>
      <c r="J114" s="22"/>
      <c r="K114" s="22"/>
      <c r="L114" s="23"/>
      <c r="M114" s="24"/>
      <c r="N114" s="22"/>
      <c r="O114" s="22"/>
      <c r="P114" s="22"/>
      <c r="Q114" s="22"/>
      <c r="R114" s="28"/>
      <c r="S114" s="22"/>
      <c r="T114" s="24"/>
      <c r="U114"/>
      <c r="V114"/>
      <c r="W114"/>
      <c r="X114"/>
      <c r="Y114"/>
      <c r="Z114" s="12"/>
      <c r="AA114" s="12"/>
      <c r="AB114" s="12"/>
      <c r="AC114" s="12"/>
      <c r="AD114" s="12"/>
      <c r="AE114" s="12"/>
      <c r="AF114" s="12"/>
      <c r="AG114" s="12"/>
      <c r="AH114" s="12"/>
      <c r="AI114" s="12"/>
    </row>
    <row r="115" spans="1:35" s="10" customFormat="1" x14ac:dyDescent="0.25">
      <c r="A115" s="12"/>
      <c r="B115" s="12"/>
      <c r="C115" s="12"/>
      <c r="D115"/>
      <c r="E115" s="19"/>
      <c r="F115" s="23"/>
      <c r="G115" s="22"/>
      <c r="H115" s="22"/>
      <c r="I115" s="22"/>
      <c r="J115" s="22"/>
      <c r="K115" s="22"/>
      <c r="L115" s="23"/>
      <c r="M115" s="21"/>
      <c r="N115" s="22"/>
      <c r="O115" s="22"/>
      <c r="P115" s="22"/>
      <c r="Q115" s="22"/>
      <c r="R115" s="28"/>
      <c r="S115" s="22"/>
      <c r="T115" s="24"/>
      <c r="U115"/>
      <c r="V115"/>
      <c r="W115"/>
      <c r="X115"/>
      <c r="Y115"/>
      <c r="Z115" s="12"/>
      <c r="AA115" s="12"/>
      <c r="AB115" s="12"/>
      <c r="AC115" s="12"/>
      <c r="AD115" s="12"/>
      <c r="AE115" s="12"/>
      <c r="AF115" s="12"/>
      <c r="AG115" s="12"/>
      <c r="AH115" s="12"/>
      <c r="AI115" s="12"/>
    </row>
    <row r="116" spans="1:35" s="10" customFormat="1" x14ac:dyDescent="0.25">
      <c r="A116" s="12"/>
      <c r="B116" s="12"/>
      <c r="C116" s="12"/>
      <c r="D116"/>
      <c r="E116" s="21"/>
      <c r="F116" s="23"/>
      <c r="G116" s="23"/>
      <c r="H116" s="23"/>
      <c r="I116" s="22"/>
      <c r="J116" s="22"/>
      <c r="K116" s="22"/>
      <c r="L116" s="22"/>
      <c r="M116" s="21"/>
      <c r="N116" s="22"/>
      <c r="O116" s="22"/>
      <c r="P116" s="22"/>
      <c r="Q116" s="22"/>
      <c r="R116" s="22"/>
      <c r="S116" s="22"/>
      <c r="T116" s="21"/>
      <c r="U116"/>
      <c r="V116"/>
      <c r="W116"/>
      <c r="X116"/>
      <c r="Y116"/>
      <c r="Z116" s="12"/>
      <c r="AA116" s="12"/>
      <c r="AB116" s="12"/>
      <c r="AC116" s="12"/>
      <c r="AD116" s="12"/>
      <c r="AE116" s="12"/>
      <c r="AF116" s="12"/>
      <c r="AG116" s="12"/>
      <c r="AH116" s="12"/>
      <c r="AI116" s="12"/>
    </row>
    <row r="117" spans="1:35" s="10" customFormat="1" x14ac:dyDescent="0.25">
      <c r="A117" s="12"/>
      <c r="B117" s="12"/>
      <c r="C117" s="12"/>
      <c r="D117"/>
      <c r="E117" s="24"/>
      <c r="F117" s="23"/>
      <c r="G117" s="23"/>
      <c r="H117" s="23"/>
      <c r="I117" s="22"/>
      <c r="J117" s="22"/>
      <c r="K117" s="22"/>
      <c r="L117" s="23"/>
      <c r="M117" s="21"/>
      <c r="N117" s="22"/>
      <c r="O117" s="22"/>
      <c r="P117" s="22"/>
      <c r="Q117" s="22"/>
      <c r="R117" s="28"/>
      <c r="S117" s="22"/>
      <c r="T117" s="24"/>
      <c r="U117"/>
      <c r="V117"/>
      <c r="W117"/>
      <c r="X117"/>
      <c r="Y117"/>
      <c r="Z117" s="12"/>
      <c r="AA117" s="12"/>
      <c r="AB117" s="12"/>
      <c r="AC117" s="12"/>
      <c r="AD117" s="12"/>
      <c r="AE117" s="12"/>
      <c r="AF117" s="12"/>
      <c r="AG117" s="12"/>
      <c r="AH117" s="12"/>
      <c r="AI117" s="12"/>
    </row>
    <row r="118" spans="1:35" s="10" customFormat="1" x14ac:dyDescent="0.25">
      <c r="A118" s="12"/>
      <c r="B118" s="12"/>
      <c r="C118" s="12"/>
      <c r="D118"/>
      <c r="E118" s="24"/>
      <c r="F118" s="23"/>
      <c r="G118" s="23"/>
      <c r="H118" s="23"/>
      <c r="I118" s="22"/>
      <c r="J118" s="22"/>
      <c r="K118" s="22"/>
      <c r="L118" s="23"/>
      <c r="M118" s="21"/>
      <c r="N118" s="22"/>
      <c r="O118" s="22"/>
      <c r="P118" s="22"/>
      <c r="Q118" s="22"/>
      <c r="R118" s="28"/>
      <c r="S118" s="22"/>
      <c r="T118" s="24"/>
      <c r="U118"/>
      <c r="V118"/>
      <c r="W118"/>
      <c r="X118"/>
      <c r="Y118"/>
      <c r="Z118" s="12"/>
      <c r="AA118" s="12"/>
      <c r="AB118" s="12"/>
      <c r="AC118" s="12"/>
      <c r="AD118" s="12"/>
      <c r="AE118" s="12"/>
      <c r="AF118" s="12"/>
      <c r="AG118" s="12"/>
      <c r="AH118" s="12"/>
      <c r="AI118" s="12"/>
    </row>
    <row r="119" spans="1:35" s="10" customFormat="1" x14ac:dyDescent="0.25">
      <c r="A119" s="12"/>
      <c r="B119" s="12"/>
      <c r="C119" s="12"/>
      <c r="D119"/>
      <c r="E119" s="24"/>
      <c r="F119" s="23"/>
      <c r="G119" s="23"/>
      <c r="H119" s="23"/>
      <c r="I119" s="22"/>
      <c r="J119" s="22"/>
      <c r="K119" s="22"/>
      <c r="L119" s="22"/>
      <c r="M119" s="21"/>
      <c r="N119" s="22"/>
      <c r="O119" s="22"/>
      <c r="P119" s="22"/>
      <c r="Q119" s="22"/>
      <c r="R119" s="28"/>
      <c r="S119" s="22"/>
      <c r="T119" s="24"/>
      <c r="U119"/>
      <c r="V119"/>
      <c r="W119"/>
      <c r="X119"/>
      <c r="Y119"/>
      <c r="Z119" s="12"/>
      <c r="AA119" s="12"/>
      <c r="AB119" s="12"/>
      <c r="AC119" s="12"/>
      <c r="AD119" s="12"/>
      <c r="AE119" s="12"/>
      <c r="AF119" s="12"/>
      <c r="AG119" s="12"/>
      <c r="AH119" s="12"/>
      <c r="AI119" s="12"/>
    </row>
    <row r="120" spans="1:35" s="10" customFormat="1" x14ac:dyDescent="0.25">
      <c r="A120" s="12"/>
      <c r="B120" s="12"/>
      <c r="C120" s="12"/>
      <c r="D120"/>
      <c r="E120" s="24"/>
      <c r="F120" s="23"/>
      <c r="G120" s="23"/>
      <c r="H120" s="26"/>
      <c r="I120" s="22"/>
      <c r="J120" s="22"/>
      <c r="K120" s="22"/>
      <c r="L120" s="22"/>
      <c r="M120" s="30"/>
      <c r="N120" s="22"/>
      <c r="O120" s="22"/>
      <c r="P120" s="22"/>
      <c r="Q120" s="23"/>
      <c r="R120" s="23"/>
      <c r="S120" s="22"/>
      <c r="T120" s="27"/>
      <c r="U120"/>
      <c r="V120"/>
      <c r="W120"/>
      <c r="X120"/>
      <c r="Y120"/>
      <c r="Z120" s="12"/>
      <c r="AA120" s="12"/>
      <c r="AB120" s="12"/>
      <c r="AC120" s="12"/>
      <c r="AD120" s="12"/>
      <c r="AE120" s="12"/>
      <c r="AF120" s="12"/>
      <c r="AG120" s="12"/>
      <c r="AH120" s="12"/>
      <c r="AI120" s="12"/>
    </row>
    <row r="121" spans="1:35" s="10" customFormat="1" x14ac:dyDescent="0.25">
      <c r="A121" s="12"/>
      <c r="B121" s="12"/>
      <c r="C121" s="12"/>
      <c r="D121"/>
      <c r="E121" s="24"/>
      <c r="F121" s="23"/>
      <c r="G121" s="23"/>
      <c r="H121" s="26"/>
      <c r="I121" s="22"/>
      <c r="J121" s="22"/>
      <c r="K121" s="22"/>
      <c r="L121" s="22"/>
      <c r="M121" s="24"/>
      <c r="N121" s="22"/>
      <c r="O121" s="22"/>
      <c r="P121" s="22"/>
      <c r="Q121" s="23"/>
      <c r="R121" s="23"/>
      <c r="S121" s="22"/>
      <c r="T121" s="24"/>
      <c r="U121"/>
      <c r="V121"/>
      <c r="W121"/>
      <c r="X121"/>
      <c r="Y121"/>
      <c r="Z121" s="12"/>
      <c r="AA121" s="12"/>
      <c r="AB121" s="12"/>
      <c r="AC121" s="12"/>
      <c r="AD121" s="12"/>
      <c r="AE121" s="12"/>
      <c r="AF121" s="12"/>
      <c r="AG121" s="12"/>
      <c r="AH121" s="12"/>
      <c r="AI121" s="12"/>
    </row>
    <row r="122" spans="1:35" s="10" customFormat="1" x14ac:dyDescent="0.25">
      <c r="A122" s="12"/>
      <c r="B122" s="12"/>
      <c r="C122" s="12"/>
      <c r="D122"/>
      <c r="E122" s="24"/>
      <c r="F122" s="23"/>
      <c r="G122" s="23"/>
      <c r="H122" s="26"/>
      <c r="I122" s="22"/>
      <c r="J122" s="22"/>
      <c r="K122" s="22"/>
      <c r="L122" s="22"/>
      <c r="M122" s="24"/>
      <c r="N122" s="22"/>
      <c r="O122" s="22"/>
      <c r="P122" s="22"/>
      <c r="Q122" s="23"/>
      <c r="R122" s="23"/>
      <c r="S122" s="22"/>
      <c r="T122" s="24"/>
      <c r="U122"/>
      <c r="V122"/>
      <c r="W122"/>
      <c r="X122"/>
      <c r="Y122"/>
      <c r="Z122" s="12"/>
      <c r="AA122" s="12"/>
      <c r="AB122" s="12"/>
      <c r="AC122" s="12"/>
      <c r="AD122" s="12"/>
      <c r="AE122" s="12"/>
      <c r="AF122" s="12"/>
      <c r="AG122" s="12"/>
      <c r="AH122" s="12"/>
      <c r="AI122" s="12"/>
    </row>
    <row r="123" spans="1:35" s="10" customFormat="1" x14ac:dyDescent="0.25">
      <c r="A123" s="12"/>
      <c r="B123" s="12"/>
      <c r="C123" s="12"/>
      <c r="D123"/>
      <c r="E123" s="24"/>
      <c r="F123" s="23"/>
      <c r="G123" s="23"/>
      <c r="H123" s="26"/>
      <c r="I123" s="22"/>
      <c r="J123" s="22"/>
      <c r="K123" s="22"/>
      <c r="L123" s="22"/>
      <c r="M123" s="24"/>
      <c r="N123" s="22"/>
      <c r="O123" s="22"/>
      <c r="P123" s="22"/>
      <c r="Q123" s="23"/>
      <c r="R123" s="23"/>
      <c r="S123" s="22"/>
      <c r="T123" s="24"/>
      <c r="U123"/>
      <c r="V123"/>
      <c r="W123"/>
      <c r="X123"/>
      <c r="Y123"/>
      <c r="Z123" s="12"/>
      <c r="AA123" s="12"/>
      <c r="AB123" s="12"/>
      <c r="AC123" s="12"/>
      <c r="AD123" s="12"/>
      <c r="AE123" s="12"/>
      <c r="AF123" s="12"/>
      <c r="AG123" s="12"/>
      <c r="AH123" s="12"/>
      <c r="AI123" s="12"/>
    </row>
    <row r="124" spans="1:35" s="10" customFormat="1" x14ac:dyDescent="0.25">
      <c r="A124" s="12"/>
      <c r="B124" s="12"/>
      <c r="C124" s="12"/>
      <c r="D124"/>
      <c r="E124" s="24"/>
      <c r="F124" s="23"/>
      <c r="G124" s="23"/>
      <c r="H124" s="26"/>
      <c r="I124" s="22"/>
      <c r="J124" s="22"/>
      <c r="K124" s="22"/>
      <c r="L124" s="22"/>
      <c r="M124" s="24"/>
      <c r="N124" s="22"/>
      <c r="O124" s="22"/>
      <c r="P124" s="22"/>
      <c r="Q124" s="23"/>
      <c r="R124" s="23"/>
      <c r="S124" s="22"/>
      <c r="T124" s="24"/>
      <c r="U124"/>
      <c r="V124"/>
      <c r="W124"/>
      <c r="X124"/>
      <c r="Y124"/>
      <c r="Z124" s="12"/>
      <c r="AA124" s="12"/>
      <c r="AB124" s="12"/>
      <c r="AC124" s="12"/>
      <c r="AD124" s="12"/>
      <c r="AE124" s="12"/>
      <c r="AF124" s="12"/>
      <c r="AG124" s="12"/>
      <c r="AH124" s="12"/>
      <c r="AI124" s="12"/>
    </row>
    <row r="125" spans="1:35" s="10" customFormat="1" x14ac:dyDescent="0.25">
      <c r="A125" s="12"/>
      <c r="B125" s="12"/>
      <c r="C125" s="12"/>
      <c r="D125"/>
      <c r="E125" s="24"/>
      <c r="F125" s="23"/>
      <c r="G125" s="23"/>
      <c r="H125" s="26"/>
      <c r="I125" s="22"/>
      <c r="J125" s="22"/>
      <c r="K125" s="22"/>
      <c r="L125" s="22"/>
      <c r="M125" s="21"/>
      <c r="N125" s="22"/>
      <c r="O125" s="22"/>
      <c r="P125" s="22"/>
      <c r="Q125" s="23"/>
      <c r="R125" s="23"/>
      <c r="S125" s="22"/>
      <c r="T125" s="21"/>
      <c r="U125"/>
      <c r="V125"/>
      <c r="W125"/>
      <c r="X125"/>
      <c r="Y125"/>
      <c r="Z125" s="12"/>
      <c r="AA125" s="12"/>
      <c r="AB125" s="12"/>
      <c r="AC125" s="12"/>
      <c r="AD125" s="12"/>
      <c r="AE125" s="12"/>
      <c r="AF125" s="12"/>
      <c r="AG125" s="12"/>
      <c r="AH125" s="12"/>
      <c r="AI125" s="12"/>
    </row>
    <row r="126" spans="1:35" s="10" customFormat="1" x14ac:dyDescent="0.25">
      <c r="A126" s="12"/>
      <c r="B126" s="12"/>
      <c r="C126" s="12"/>
      <c r="D126"/>
      <c r="E126" s="24"/>
      <c r="F126" s="23"/>
      <c r="G126" s="23"/>
      <c r="H126" s="26"/>
      <c r="I126" s="22"/>
      <c r="J126" s="22"/>
      <c r="K126" s="22"/>
      <c r="L126" s="22"/>
      <c r="M126" s="21"/>
      <c r="N126" s="22"/>
      <c r="O126" s="22"/>
      <c r="P126" s="22"/>
      <c r="Q126" s="23"/>
      <c r="R126" s="23"/>
      <c r="S126" s="22"/>
      <c r="T126" s="21"/>
      <c r="U126"/>
      <c r="V126"/>
      <c r="W126"/>
      <c r="X126"/>
      <c r="Y126"/>
      <c r="Z126" s="12"/>
      <c r="AA126" s="12"/>
      <c r="AB126" s="12"/>
      <c r="AC126" s="12"/>
      <c r="AD126" s="12"/>
      <c r="AE126" s="12"/>
      <c r="AF126" s="12"/>
      <c r="AG126" s="12"/>
      <c r="AH126" s="12"/>
      <c r="AI126" s="12"/>
    </row>
    <row r="127" spans="1:35" s="10" customFormat="1" x14ac:dyDescent="0.25">
      <c r="A127" s="12"/>
      <c r="B127" s="12"/>
      <c r="C127" s="12"/>
      <c r="D127"/>
      <c r="E127" s="24"/>
      <c r="F127" s="23"/>
      <c r="G127" s="23"/>
      <c r="H127" s="26"/>
      <c r="I127" s="22"/>
      <c r="J127" s="22"/>
      <c r="K127" s="22"/>
      <c r="L127" s="22"/>
      <c r="M127" s="21"/>
      <c r="N127" s="22"/>
      <c r="O127" s="22"/>
      <c r="P127" s="22"/>
      <c r="Q127" s="23"/>
      <c r="R127" s="23"/>
      <c r="S127" s="22"/>
      <c r="T127" s="21"/>
      <c r="U127"/>
      <c r="V127"/>
      <c r="W127"/>
      <c r="X127"/>
      <c r="Y127"/>
      <c r="Z127" s="12"/>
      <c r="AA127" s="12"/>
      <c r="AB127" s="12"/>
      <c r="AC127" s="12"/>
      <c r="AD127" s="12"/>
      <c r="AE127" s="12"/>
      <c r="AF127" s="12"/>
      <c r="AG127" s="12"/>
      <c r="AH127" s="12"/>
      <c r="AI127" s="12"/>
    </row>
    <row r="128" spans="1:35" s="10" customFormat="1" x14ac:dyDescent="0.25">
      <c r="A128" s="12"/>
      <c r="B128" s="12"/>
      <c r="C128" s="12"/>
      <c r="D128"/>
      <c r="E128" s="24"/>
      <c r="F128" s="23"/>
      <c r="G128" s="23"/>
      <c r="H128" s="26"/>
      <c r="I128" s="22"/>
      <c r="J128" s="22"/>
      <c r="K128" s="22"/>
      <c r="L128" s="22"/>
      <c r="M128" s="21"/>
      <c r="N128" s="22"/>
      <c r="O128" s="22"/>
      <c r="P128" s="22"/>
      <c r="Q128" s="23"/>
      <c r="R128" s="23"/>
      <c r="S128" s="22"/>
      <c r="T128" s="21"/>
      <c r="U128"/>
      <c r="V128"/>
      <c r="W128"/>
      <c r="X128"/>
      <c r="Y128"/>
      <c r="Z128" s="12"/>
      <c r="AA128" s="12"/>
      <c r="AB128" s="12"/>
      <c r="AC128" s="12"/>
      <c r="AD128" s="12"/>
      <c r="AE128" s="12"/>
      <c r="AF128" s="12"/>
      <c r="AG128" s="12"/>
      <c r="AH128" s="12"/>
      <c r="AI128" s="12"/>
    </row>
    <row r="129" spans="1:35" s="10" customFormat="1" x14ac:dyDescent="0.25">
      <c r="A129" s="12"/>
      <c r="B129" s="12"/>
      <c r="C129" s="12"/>
      <c r="D129"/>
      <c r="E129" s="24"/>
      <c r="F129" s="23"/>
      <c r="G129" s="23"/>
      <c r="H129" s="26"/>
      <c r="I129" s="22"/>
      <c r="J129" s="22"/>
      <c r="K129" s="22"/>
      <c r="L129" s="22"/>
      <c r="M129" s="21"/>
      <c r="N129" s="22"/>
      <c r="O129" s="22"/>
      <c r="P129" s="22"/>
      <c r="Q129" s="23"/>
      <c r="R129" s="23"/>
      <c r="S129" s="22"/>
      <c r="T129" s="21"/>
      <c r="U129"/>
      <c r="V129"/>
      <c r="W129"/>
      <c r="X129"/>
      <c r="Y129"/>
      <c r="Z129" s="12"/>
      <c r="AA129" s="12"/>
      <c r="AB129" s="12"/>
      <c r="AC129" s="12"/>
      <c r="AD129" s="12"/>
      <c r="AE129" s="12"/>
      <c r="AF129" s="12"/>
      <c r="AG129" s="12"/>
      <c r="AH129" s="12"/>
      <c r="AI129" s="12"/>
    </row>
    <row r="130" spans="1:35" s="10" customFormat="1" x14ac:dyDescent="0.25">
      <c r="A130" s="12"/>
      <c r="B130" s="12"/>
      <c r="C130" s="12"/>
      <c r="D130"/>
      <c r="E130" s="24"/>
      <c r="F130" s="23"/>
      <c r="G130" s="23"/>
      <c r="H130" s="26"/>
      <c r="I130" s="22"/>
      <c r="J130" s="22"/>
      <c r="K130" s="22"/>
      <c r="L130" s="22"/>
      <c r="M130" s="21"/>
      <c r="N130" s="22"/>
      <c r="O130" s="22"/>
      <c r="P130" s="22"/>
      <c r="Q130" s="23"/>
      <c r="R130" s="23"/>
      <c r="S130" s="22"/>
      <c r="T130" s="21"/>
      <c r="U130"/>
      <c r="V130"/>
      <c r="W130"/>
      <c r="X130"/>
      <c r="Y130"/>
      <c r="Z130" s="12"/>
      <c r="AA130" s="12"/>
      <c r="AB130" s="12"/>
      <c r="AC130" s="12"/>
      <c r="AD130" s="12"/>
      <c r="AE130" s="12"/>
      <c r="AF130" s="12"/>
      <c r="AG130" s="12"/>
      <c r="AH130" s="12"/>
      <c r="AI130" s="12"/>
    </row>
    <row r="131" spans="1:35" s="10" customFormat="1" x14ac:dyDescent="0.25">
      <c r="A131" s="12"/>
      <c r="B131" s="12"/>
      <c r="C131" s="12"/>
      <c r="D131"/>
      <c r="E131" s="21"/>
      <c r="F131" s="23"/>
      <c r="G131" s="23"/>
      <c r="H131" s="26"/>
      <c r="I131" s="22"/>
      <c r="J131" s="22"/>
      <c r="K131" s="22"/>
      <c r="L131" s="22"/>
      <c r="M131" s="21"/>
      <c r="N131" s="22"/>
      <c r="O131" s="22"/>
      <c r="P131" s="22"/>
      <c r="Q131" s="23"/>
      <c r="R131" s="23"/>
      <c r="S131" s="22"/>
      <c r="T131" s="21"/>
      <c r="U131"/>
      <c r="V131"/>
      <c r="W131"/>
      <c r="X131"/>
      <c r="Y131"/>
      <c r="Z131" s="12"/>
      <c r="AA131" s="12"/>
      <c r="AB131" s="12"/>
      <c r="AC131" s="12"/>
      <c r="AD131" s="12"/>
      <c r="AE131" s="12"/>
      <c r="AF131" s="12"/>
      <c r="AG131" s="12"/>
      <c r="AH131" s="12"/>
      <c r="AI131" s="12"/>
    </row>
    <row r="132" spans="1:35" s="10" customFormat="1" x14ac:dyDescent="0.25">
      <c r="A132" s="12"/>
      <c r="B132" s="12"/>
      <c r="C132" s="12"/>
      <c r="D132"/>
      <c r="E132" s="24"/>
      <c r="F132" s="23"/>
      <c r="G132" s="23"/>
      <c r="H132" s="23"/>
      <c r="I132" s="22"/>
      <c r="J132" s="22"/>
      <c r="K132" s="22"/>
      <c r="L132" s="22"/>
      <c r="M132" s="21"/>
      <c r="N132" s="22"/>
      <c r="O132" s="22"/>
      <c r="P132" s="22"/>
      <c r="Q132" s="23"/>
      <c r="R132" s="23"/>
      <c r="S132" s="22"/>
      <c r="T132" s="21"/>
      <c r="U132"/>
      <c r="V132"/>
      <c r="W132"/>
      <c r="X132"/>
      <c r="Y132"/>
      <c r="Z132" s="12"/>
      <c r="AA132" s="12"/>
      <c r="AB132" s="12"/>
      <c r="AC132" s="12"/>
      <c r="AD132" s="12"/>
      <c r="AE132" s="12"/>
      <c r="AF132" s="12"/>
      <c r="AG132" s="12"/>
      <c r="AH132" s="12"/>
      <c r="AI132" s="12"/>
    </row>
    <row r="133" spans="1:35" s="10" customFormat="1" x14ac:dyDescent="0.25">
      <c r="A133" s="12"/>
      <c r="B133" s="12"/>
      <c r="C133" s="12"/>
      <c r="D133"/>
      <c r="E133" s="24"/>
      <c r="F133" s="23"/>
      <c r="G133" s="23"/>
      <c r="H133" s="23"/>
      <c r="I133" s="22"/>
      <c r="J133" s="22"/>
      <c r="K133" s="22"/>
      <c r="L133" s="22"/>
      <c r="M133" s="21"/>
      <c r="N133" s="22"/>
      <c r="O133" s="22"/>
      <c r="P133" s="22"/>
      <c r="Q133" s="23"/>
      <c r="R133" s="23"/>
      <c r="S133" s="22"/>
      <c r="T133" s="21"/>
      <c r="U133"/>
      <c r="V133"/>
      <c r="W133"/>
      <c r="X133"/>
      <c r="Y133"/>
      <c r="Z133" s="12"/>
      <c r="AA133" s="12"/>
      <c r="AB133" s="12"/>
      <c r="AC133" s="12"/>
      <c r="AD133" s="12"/>
      <c r="AE133" s="12"/>
      <c r="AF133" s="12"/>
      <c r="AG133" s="12"/>
      <c r="AH133" s="12"/>
      <c r="AI133" s="12"/>
    </row>
    <row r="134" spans="1:35" s="10" customFormat="1" x14ac:dyDescent="0.25">
      <c r="A134" s="12"/>
      <c r="B134" s="12"/>
      <c r="C134" s="12"/>
      <c r="D134"/>
      <c r="E134" s="24"/>
      <c r="F134" s="23"/>
      <c r="G134" s="23"/>
      <c r="H134" s="23"/>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25">
      <c r="A135" s="12"/>
      <c r="B135" s="12"/>
      <c r="C135" s="12"/>
      <c r="D135"/>
      <c r="E135" s="24"/>
      <c r="F135" s="23"/>
      <c r="G135" s="23"/>
      <c r="H135" s="23"/>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25">
      <c r="A136" s="12"/>
      <c r="B136" s="12"/>
      <c r="C136" s="12"/>
      <c r="D136"/>
      <c r="E136" s="24"/>
      <c r="F136" s="23"/>
      <c r="G136" s="23"/>
      <c r="H136" s="23"/>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25">
      <c r="A137" s="12"/>
      <c r="B137" s="12"/>
      <c r="C137" s="12"/>
      <c r="D137"/>
      <c r="E137" s="24"/>
      <c r="F137" s="23"/>
      <c r="G137" s="23"/>
      <c r="H137" s="23"/>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25">
      <c r="A138" s="12"/>
      <c r="B138" s="12"/>
      <c r="C138" s="12"/>
      <c r="D138"/>
      <c r="E138" s="24"/>
      <c r="F138" s="23"/>
      <c r="G138" s="23"/>
      <c r="H138" s="26"/>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25">
      <c r="A139" s="12"/>
      <c r="B139" s="12"/>
      <c r="C139" s="12"/>
      <c r="D139"/>
      <c r="E139" s="24"/>
      <c r="F139" s="23"/>
      <c r="G139" s="23"/>
      <c r="H139" s="26"/>
      <c r="I139" s="22"/>
      <c r="J139" s="22"/>
      <c r="K139" s="22"/>
      <c r="L139" s="22"/>
      <c r="M139" s="21"/>
      <c r="N139" s="22"/>
      <c r="O139" s="22"/>
      <c r="P139" s="22"/>
      <c r="Q139" s="22"/>
      <c r="R139" s="28"/>
      <c r="S139" s="22"/>
      <c r="T139" s="21"/>
      <c r="U139"/>
      <c r="V139"/>
      <c r="W139"/>
      <c r="X139"/>
      <c r="Y139"/>
      <c r="Z139" s="12"/>
      <c r="AA139" s="12"/>
      <c r="AB139" s="12"/>
      <c r="AC139" s="12"/>
      <c r="AD139" s="12"/>
      <c r="AE139" s="12"/>
      <c r="AF139" s="12"/>
      <c r="AG139" s="12"/>
      <c r="AH139" s="12"/>
      <c r="AI139" s="12"/>
    </row>
    <row r="140" spans="1:35" s="10" customFormat="1" x14ac:dyDescent="0.25">
      <c r="A140" s="12"/>
      <c r="B140" s="12"/>
      <c r="C140" s="12"/>
      <c r="D140"/>
      <c r="E140" s="21"/>
      <c r="F140" s="23"/>
      <c r="G140" s="23"/>
      <c r="H140" s="26"/>
      <c r="I140" s="22"/>
      <c r="J140" s="22"/>
      <c r="K140" s="22"/>
      <c r="L140" s="22"/>
      <c r="M140" s="21"/>
      <c r="N140" s="22"/>
      <c r="O140" s="22"/>
      <c r="P140" s="22"/>
      <c r="Q140" s="23"/>
      <c r="R140" s="23"/>
      <c r="S140" s="22"/>
      <c r="T140" s="21"/>
      <c r="U140"/>
      <c r="V140"/>
      <c r="W140"/>
      <c r="X140"/>
      <c r="Y140"/>
      <c r="Z140" s="12"/>
      <c r="AA140" s="12"/>
      <c r="AB140" s="12"/>
      <c r="AC140" s="12"/>
      <c r="AD140" s="12"/>
      <c r="AE140" s="12"/>
      <c r="AF140" s="12"/>
      <c r="AG140" s="12"/>
      <c r="AH140" s="12"/>
      <c r="AI140" s="12"/>
    </row>
    <row r="141" spans="1:35" s="10" customFormat="1" x14ac:dyDescent="0.25">
      <c r="A141" s="12"/>
      <c r="B141" s="12"/>
      <c r="C141" s="12"/>
      <c r="D141"/>
      <c r="E141" s="21"/>
      <c r="F141" s="23"/>
      <c r="G141" s="23"/>
      <c r="H141" s="26"/>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25">
      <c r="A142" s="12"/>
      <c r="B142" s="12"/>
      <c r="C142" s="12"/>
      <c r="D142"/>
      <c r="E142" s="21"/>
      <c r="F142" s="23"/>
      <c r="G142" s="23"/>
      <c r="H142" s="26"/>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25">
      <c r="A143" s="12"/>
      <c r="B143" s="12"/>
      <c r="C143" s="12"/>
      <c r="D143"/>
      <c r="E143" s="21"/>
      <c r="F143" s="23"/>
      <c r="G143" s="23"/>
      <c r="H143" s="26"/>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25">
      <c r="A144" s="12"/>
      <c r="B144" s="12"/>
      <c r="C144" s="12"/>
      <c r="D144"/>
      <c r="E144" s="21"/>
      <c r="F144" s="23"/>
      <c r="G144" s="23"/>
      <c r="H144" s="26"/>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25">
      <c r="A145" s="12"/>
      <c r="B145" s="12"/>
      <c r="C145" s="12"/>
      <c r="D145"/>
      <c r="E145" s="21"/>
      <c r="F145" s="23"/>
      <c r="G145" s="23"/>
      <c r="H145" s="26"/>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25">
      <c r="A146" s="12"/>
      <c r="B146" s="12"/>
      <c r="C146" s="12"/>
      <c r="D146"/>
      <c r="E146" s="22"/>
      <c r="F146" s="22"/>
      <c r="G146" s="22"/>
      <c r="H146" s="22"/>
      <c r="I146" s="22"/>
      <c r="J146" s="22"/>
      <c r="K146" s="22"/>
      <c r="L146" s="22"/>
      <c r="M146" s="22"/>
      <c r="N146" s="22"/>
      <c r="O146" s="22"/>
      <c r="P146" s="22"/>
      <c r="Q146" s="22"/>
      <c r="R146" s="28"/>
      <c r="S146" s="22"/>
      <c r="T146" s="22"/>
      <c r="U146"/>
      <c r="V146"/>
      <c r="W146"/>
      <c r="X146"/>
      <c r="Y146"/>
      <c r="Z146" s="12"/>
      <c r="AA146" s="12"/>
      <c r="AB146" s="12"/>
      <c r="AC146" s="12"/>
      <c r="AD146" s="12"/>
      <c r="AE146" s="12"/>
      <c r="AF146" s="12"/>
      <c r="AG146" s="12"/>
      <c r="AH146" s="12"/>
      <c r="AI146" s="12"/>
    </row>
    <row r="147" spans="1:35" s="10" customFormat="1" x14ac:dyDescent="0.25">
      <c r="A147" s="12"/>
      <c r="B147" s="12"/>
      <c r="C147" s="12"/>
      <c r="D147"/>
      <c r="E147" s="21"/>
      <c r="F147" s="23"/>
      <c r="G147" s="23"/>
      <c r="H147" s="26"/>
      <c r="I147" s="22"/>
      <c r="J147" s="22"/>
      <c r="K147" s="22"/>
      <c r="L147" s="22"/>
      <c r="M147" s="21"/>
      <c r="N147" s="22"/>
      <c r="O147" s="22"/>
      <c r="P147" s="22"/>
      <c r="Q147" s="23"/>
      <c r="R147" s="23"/>
      <c r="S147" s="22"/>
      <c r="T147" s="21"/>
      <c r="U147"/>
      <c r="V147"/>
      <c r="W147"/>
      <c r="X147"/>
      <c r="Y147"/>
      <c r="Z147" s="12"/>
      <c r="AA147" s="12"/>
      <c r="AB147" s="12"/>
      <c r="AC147" s="12"/>
      <c r="AD147" s="12"/>
      <c r="AE147" s="12"/>
      <c r="AF147" s="12"/>
      <c r="AG147" s="12"/>
      <c r="AH147" s="12"/>
      <c r="AI147" s="12"/>
    </row>
    <row r="148" spans="1:35" s="10" customFormat="1" x14ac:dyDescent="0.25">
      <c r="A148" s="12"/>
      <c r="B148" s="12"/>
      <c r="C148" s="12"/>
      <c r="D148"/>
      <c r="E148" s="24"/>
      <c r="F148" s="23"/>
      <c r="G148" s="23"/>
      <c r="H148" s="26"/>
      <c r="I148" s="22"/>
      <c r="J148" s="22"/>
      <c r="K148" s="22"/>
      <c r="L148" s="22"/>
      <c r="M148" s="21"/>
      <c r="N148" s="22"/>
      <c r="O148" s="22"/>
      <c r="P148" s="22"/>
      <c r="Q148" s="23"/>
      <c r="R148" s="23"/>
      <c r="S148" s="22"/>
      <c r="T148" s="21"/>
      <c r="U148"/>
      <c r="V148"/>
      <c r="W148"/>
      <c r="X148"/>
      <c r="Y148"/>
      <c r="Z148" s="12"/>
      <c r="AA148" s="12"/>
      <c r="AB148" s="12"/>
      <c r="AC148" s="12"/>
      <c r="AD148" s="12"/>
      <c r="AE148" s="12"/>
      <c r="AF148" s="12"/>
      <c r="AG148" s="12"/>
      <c r="AH148" s="12"/>
      <c r="AI148" s="12"/>
    </row>
    <row r="149" spans="1:35" s="10" customFormat="1" x14ac:dyDescent="0.25">
      <c r="A149" s="12"/>
      <c r="B149" s="12"/>
      <c r="C149" s="12"/>
      <c r="D149"/>
      <c r="E149" s="24"/>
      <c r="F149" s="23"/>
      <c r="G149" s="23"/>
      <c r="H149" s="26"/>
      <c r="I149" s="22"/>
      <c r="J149" s="22"/>
      <c r="K149" s="22"/>
      <c r="L149" s="22"/>
      <c r="M149" s="21"/>
      <c r="N149" s="22"/>
      <c r="O149" s="22"/>
      <c r="P149" s="22"/>
      <c r="Q149" s="23"/>
      <c r="R149" s="23"/>
      <c r="S149" s="22"/>
      <c r="T149" s="21"/>
      <c r="U149"/>
      <c r="V149"/>
      <c r="W149"/>
      <c r="X149"/>
      <c r="Y149"/>
      <c r="Z149" s="12"/>
      <c r="AA149" s="12"/>
      <c r="AB149" s="12"/>
      <c r="AC149" s="12"/>
      <c r="AD149" s="12"/>
      <c r="AE149" s="12"/>
      <c r="AF149" s="12"/>
      <c r="AG149" s="12"/>
      <c r="AH149" s="12"/>
      <c r="AI149" s="12"/>
    </row>
    <row r="150" spans="1:35" s="10" customFormat="1" x14ac:dyDescent="0.25">
      <c r="A150" s="12"/>
      <c r="B150" s="12"/>
      <c r="C150" s="12"/>
      <c r="D150"/>
      <c r="E150" s="24"/>
      <c r="F150" s="23"/>
      <c r="G150" s="23"/>
      <c r="H150" s="26"/>
      <c r="I150" s="22"/>
      <c r="J150" s="22"/>
      <c r="K150" s="22"/>
      <c r="L150" s="22"/>
      <c r="M150" s="21"/>
      <c r="N150" s="22"/>
      <c r="O150" s="22"/>
      <c r="P150" s="22"/>
      <c r="Q150" s="23"/>
      <c r="R150" s="23"/>
      <c r="S150" s="22"/>
      <c r="T150" s="21"/>
      <c r="U150"/>
      <c r="V150"/>
      <c r="W150"/>
      <c r="X150"/>
      <c r="Y150"/>
      <c r="Z150" s="12"/>
      <c r="AA150" s="12"/>
      <c r="AB150" s="12"/>
      <c r="AC150" s="12"/>
      <c r="AD150" s="12"/>
      <c r="AE150" s="12"/>
      <c r="AF150" s="12"/>
      <c r="AG150" s="12"/>
      <c r="AH150" s="12"/>
      <c r="AI150" s="12"/>
    </row>
    <row r="151" spans="1:35" s="10" customFormat="1" x14ac:dyDescent="0.25">
      <c r="A151" s="12"/>
      <c r="B151" s="12"/>
      <c r="C151" s="12"/>
      <c r="D151"/>
      <c r="E151" s="24"/>
      <c r="F151" s="23"/>
      <c r="G151" s="23"/>
      <c r="H151" s="26"/>
      <c r="I151" s="22"/>
      <c r="J151" s="22"/>
      <c r="K151" s="22"/>
      <c r="L151" s="22"/>
      <c r="M151" s="21"/>
      <c r="N151" s="22"/>
      <c r="O151" s="22"/>
      <c r="P151" s="22"/>
      <c r="Q151" s="23"/>
      <c r="R151" s="23"/>
      <c r="S151" s="22"/>
      <c r="T151" s="21"/>
      <c r="U151"/>
      <c r="V151"/>
      <c r="W151"/>
      <c r="X151"/>
      <c r="Y151"/>
      <c r="Z151" s="12"/>
      <c r="AA151" s="12"/>
      <c r="AB151" s="12"/>
      <c r="AC151" s="12"/>
      <c r="AD151" s="12"/>
      <c r="AE151" s="12"/>
      <c r="AF151" s="12"/>
      <c r="AG151" s="12"/>
      <c r="AH151" s="12"/>
      <c r="AI151" s="12"/>
    </row>
    <row r="152" spans="1:35" s="10" customFormat="1" x14ac:dyDescent="0.25">
      <c r="A152" s="12"/>
      <c r="B152" s="12"/>
      <c r="C152" s="12"/>
      <c r="D152"/>
      <c r="E152" s="24"/>
      <c r="F152" s="23"/>
      <c r="G152" s="23"/>
      <c r="H152" s="26"/>
      <c r="I152" s="22"/>
      <c r="J152" s="22"/>
      <c r="K152" s="22"/>
      <c r="L152" s="22"/>
      <c r="M152" s="21"/>
      <c r="N152" s="22"/>
      <c r="O152" s="22"/>
      <c r="P152" s="22"/>
      <c r="Q152" s="23"/>
      <c r="R152" s="23"/>
      <c r="S152" s="22"/>
      <c r="T152" s="21"/>
      <c r="U152"/>
      <c r="V152"/>
      <c r="W152"/>
      <c r="X152"/>
      <c r="Y152"/>
      <c r="Z152" s="12"/>
      <c r="AA152" s="12"/>
      <c r="AB152" s="12"/>
      <c r="AC152" s="12"/>
      <c r="AD152" s="12"/>
      <c r="AE152" s="12"/>
      <c r="AF152" s="12"/>
      <c r="AG152" s="12"/>
      <c r="AH152" s="12"/>
      <c r="AI152" s="12"/>
    </row>
    <row r="153" spans="1:35" s="10" customFormat="1" x14ac:dyDescent="0.25">
      <c r="A153" s="12"/>
      <c r="B153" s="12"/>
      <c r="C153" s="12"/>
      <c r="D153"/>
      <c r="E153" s="24"/>
      <c r="F153" s="23"/>
      <c r="G153" s="23"/>
      <c r="H153" s="26"/>
      <c r="I153" s="22"/>
      <c r="J153" s="22"/>
      <c r="K153" s="22"/>
      <c r="L153" s="22"/>
      <c r="M153" s="21"/>
      <c r="N153" s="22"/>
      <c r="O153" s="22"/>
      <c r="P153" s="22"/>
      <c r="Q153" s="23"/>
      <c r="R153" s="23"/>
      <c r="S153" s="22"/>
      <c r="T153" s="21"/>
      <c r="U153"/>
      <c r="V153"/>
      <c r="W153"/>
      <c r="X153"/>
      <c r="Y153"/>
      <c r="Z153" s="12"/>
      <c r="AA153" s="12"/>
      <c r="AB153" s="12"/>
      <c r="AC153" s="12"/>
      <c r="AD153" s="12"/>
      <c r="AE153" s="12"/>
      <c r="AF153" s="12"/>
      <c r="AG153" s="12"/>
      <c r="AH153" s="12"/>
      <c r="AI153" s="12"/>
    </row>
    <row r="154" spans="1:35" s="10" customFormat="1" x14ac:dyDescent="0.25">
      <c r="A154" s="12"/>
      <c r="B154" s="12"/>
      <c r="C154" s="12"/>
      <c r="D154"/>
      <c r="E154" s="24"/>
      <c r="F154" s="23"/>
      <c r="G154" s="23"/>
      <c r="H154" s="26"/>
      <c r="I154" s="22"/>
      <c r="J154" s="22"/>
      <c r="K154" s="22"/>
      <c r="L154" s="22"/>
      <c r="M154" s="21"/>
      <c r="N154" s="22"/>
      <c r="O154" s="22"/>
      <c r="P154" s="22"/>
      <c r="Q154" s="23"/>
      <c r="R154" s="23"/>
      <c r="S154" s="22"/>
      <c r="T154" s="21"/>
      <c r="U154"/>
      <c r="V154"/>
      <c r="W154"/>
      <c r="X154"/>
      <c r="Y154"/>
      <c r="Z154" s="12"/>
      <c r="AA154" s="12"/>
      <c r="AB154" s="12"/>
      <c r="AC154" s="12"/>
      <c r="AD154" s="12"/>
      <c r="AE154" s="12"/>
      <c r="AF154" s="12"/>
      <c r="AG154" s="12"/>
      <c r="AH154" s="12"/>
      <c r="AI154" s="12"/>
    </row>
    <row r="155" spans="1:35" s="10" customFormat="1" x14ac:dyDescent="0.25">
      <c r="A155" s="12"/>
      <c r="B155" s="12"/>
      <c r="C155" s="12"/>
      <c r="D155"/>
      <c r="E155" s="24"/>
      <c r="F155" s="23"/>
      <c r="G155" s="23"/>
      <c r="H155" s="26"/>
      <c r="I155" s="22"/>
      <c r="J155" s="22"/>
      <c r="K155" s="22"/>
      <c r="L155" s="22"/>
      <c r="M155" s="21"/>
      <c r="N155" s="22"/>
      <c r="O155" s="22"/>
      <c r="P155" s="22"/>
      <c r="Q155" s="23"/>
      <c r="R155" s="23"/>
      <c r="S155" s="22"/>
      <c r="T155" s="21"/>
      <c r="U155"/>
      <c r="V155"/>
      <c r="W155"/>
      <c r="X155"/>
      <c r="Y155"/>
      <c r="Z155" s="12"/>
      <c r="AA155" s="12"/>
      <c r="AB155" s="12"/>
      <c r="AC155" s="12"/>
      <c r="AD155" s="12"/>
      <c r="AE155" s="12"/>
      <c r="AF155" s="12"/>
      <c r="AG155" s="12"/>
      <c r="AH155" s="12"/>
      <c r="AI155" s="12"/>
    </row>
    <row r="156" spans="1:35" s="10" customFormat="1" x14ac:dyDescent="0.25">
      <c r="A156" s="12"/>
      <c r="B156" s="12"/>
      <c r="C156" s="12"/>
      <c r="D156"/>
      <c r="E156" s="24"/>
      <c r="F156" s="23"/>
      <c r="G156" s="23"/>
      <c r="H156" s="26"/>
      <c r="I156" s="22"/>
      <c r="J156" s="22"/>
      <c r="K156" s="22"/>
      <c r="L156" s="22"/>
      <c r="M156" s="21"/>
      <c r="N156" s="22"/>
      <c r="O156" s="22"/>
      <c r="P156" s="22"/>
      <c r="Q156" s="23"/>
      <c r="R156" s="23"/>
      <c r="S156" s="22"/>
      <c r="T156" s="21"/>
      <c r="U156"/>
      <c r="V156"/>
      <c r="W156"/>
      <c r="X156"/>
      <c r="Y156"/>
      <c r="Z156" s="12"/>
      <c r="AA156" s="12"/>
      <c r="AB156" s="12"/>
      <c r="AC156" s="12"/>
      <c r="AD156" s="12"/>
      <c r="AE156" s="12"/>
      <c r="AF156" s="12"/>
      <c r="AG156" s="12"/>
      <c r="AH156" s="12"/>
      <c r="AI156" s="12"/>
    </row>
    <row r="157" spans="1:35" s="10" customFormat="1" x14ac:dyDescent="0.25">
      <c r="A157" s="12"/>
      <c r="B157" s="12"/>
      <c r="C157" s="12"/>
      <c r="D157"/>
      <c r="E157" s="24"/>
      <c r="F157" s="23"/>
      <c r="G157" s="23"/>
      <c r="H157" s="26"/>
      <c r="I157" s="22"/>
      <c r="J157" s="22"/>
      <c r="K157" s="22"/>
      <c r="L157" s="22"/>
      <c r="M157" s="21"/>
      <c r="N157" s="22"/>
      <c r="O157" s="22"/>
      <c r="P157" s="22"/>
      <c r="Q157" s="23"/>
      <c r="R157" s="23"/>
      <c r="S157" s="22"/>
      <c r="T157" s="21"/>
      <c r="U157"/>
      <c r="V157"/>
      <c r="W157"/>
      <c r="X157"/>
      <c r="Y157"/>
      <c r="Z157" s="12"/>
      <c r="AA157" s="12"/>
      <c r="AB157" s="12"/>
      <c r="AC157" s="12"/>
      <c r="AD157" s="12"/>
      <c r="AE157" s="12"/>
      <c r="AF157" s="12"/>
      <c r="AG157" s="12"/>
      <c r="AH157" s="12"/>
      <c r="AI157" s="12"/>
    </row>
    <row r="158" spans="1:35" s="10" customFormat="1" x14ac:dyDescent="0.25">
      <c r="A158" s="12"/>
      <c r="B158" s="12"/>
      <c r="C158" s="12"/>
      <c r="D158"/>
      <c r="E158" s="24"/>
      <c r="F158" s="23"/>
      <c r="G158" s="23"/>
      <c r="H158" s="26"/>
      <c r="I158" s="22"/>
      <c r="J158" s="22"/>
      <c r="K158" s="22"/>
      <c r="L158" s="22"/>
      <c r="M158" s="21"/>
      <c r="N158" s="22"/>
      <c r="O158" s="22"/>
      <c r="P158" s="22"/>
      <c r="Q158" s="23"/>
      <c r="R158" s="23"/>
      <c r="S158" s="22"/>
      <c r="T158" s="21"/>
      <c r="U158"/>
      <c r="V158"/>
      <c r="W158"/>
      <c r="X158"/>
      <c r="Y158"/>
      <c r="Z158" s="12"/>
      <c r="AA158" s="12"/>
      <c r="AB158" s="12"/>
      <c r="AC158" s="12"/>
      <c r="AD158" s="12"/>
      <c r="AE158" s="12"/>
      <c r="AF158" s="12"/>
      <c r="AG158" s="12"/>
      <c r="AH158" s="12"/>
      <c r="AI158" s="12"/>
    </row>
    <row r="159" spans="1:35" s="10" customFormat="1" x14ac:dyDescent="0.25">
      <c r="A159" s="12"/>
      <c r="B159" s="12"/>
      <c r="C159" s="12"/>
      <c r="D159"/>
      <c r="E159" s="24"/>
      <c r="F159" s="23"/>
      <c r="G159" s="23"/>
      <c r="H159" s="26"/>
      <c r="I159" s="22"/>
      <c r="J159" s="22"/>
      <c r="K159" s="22"/>
      <c r="L159" s="22"/>
      <c r="M159" s="21"/>
      <c r="N159" s="22"/>
      <c r="O159" s="22"/>
      <c r="P159" s="22"/>
      <c r="Q159" s="23"/>
      <c r="R159" s="23"/>
      <c r="S159" s="22"/>
      <c r="T159" s="21"/>
      <c r="U159"/>
      <c r="V159"/>
      <c r="W159"/>
      <c r="X159"/>
      <c r="Y159"/>
      <c r="Z159" s="12"/>
      <c r="AA159" s="12"/>
      <c r="AB159" s="12"/>
      <c r="AC159" s="12"/>
      <c r="AD159" s="12"/>
      <c r="AE159" s="12"/>
      <c r="AF159" s="12"/>
      <c r="AG159" s="12"/>
      <c r="AH159" s="12"/>
      <c r="AI159" s="12"/>
    </row>
    <row r="160" spans="1:35" s="10" customFormat="1" x14ac:dyDescent="0.25">
      <c r="A160" s="12"/>
      <c r="B160" s="12"/>
      <c r="C160" s="12"/>
      <c r="D160"/>
      <c r="E160" s="24"/>
      <c r="F160" s="23"/>
      <c r="G160" s="23"/>
      <c r="H160" s="26"/>
      <c r="I160" s="22"/>
      <c r="J160" s="22"/>
      <c r="K160" s="22"/>
      <c r="L160" s="22"/>
      <c r="M160" s="21"/>
      <c r="N160" s="22"/>
      <c r="O160" s="22"/>
      <c r="P160" s="22"/>
      <c r="Q160" s="23"/>
      <c r="R160" s="23"/>
      <c r="S160" s="22"/>
      <c r="T160" s="21"/>
      <c r="U160"/>
      <c r="V160"/>
      <c r="W160"/>
      <c r="X160"/>
      <c r="Y160"/>
      <c r="Z160" s="12"/>
      <c r="AA160" s="12"/>
      <c r="AB160" s="12"/>
      <c r="AC160" s="12"/>
      <c r="AD160" s="12"/>
      <c r="AE160" s="12"/>
      <c r="AF160" s="12"/>
      <c r="AG160" s="12"/>
      <c r="AH160" s="12"/>
      <c r="AI160" s="12"/>
    </row>
    <row r="161" spans="1:35" s="10" customFormat="1" x14ac:dyDescent="0.25">
      <c r="A161" s="12"/>
      <c r="B161" s="12"/>
      <c r="C161" s="12"/>
      <c r="D161"/>
      <c r="E161" s="24"/>
      <c r="F161" s="23"/>
      <c r="G161" s="23"/>
      <c r="H161" s="26"/>
      <c r="I161" s="22"/>
      <c r="J161" s="22"/>
      <c r="K161" s="22"/>
      <c r="L161" s="22"/>
      <c r="M161" s="21"/>
      <c r="N161" s="22"/>
      <c r="O161" s="22"/>
      <c r="P161" s="22"/>
      <c r="Q161" s="23"/>
      <c r="R161" s="23"/>
      <c r="S161" s="22"/>
      <c r="T161" s="21"/>
      <c r="U161"/>
      <c r="V161"/>
      <c r="W161"/>
      <c r="X161"/>
      <c r="Y161"/>
      <c r="Z161" s="12"/>
      <c r="AA161" s="12"/>
      <c r="AB161" s="12"/>
      <c r="AC161" s="12"/>
      <c r="AD161" s="12"/>
      <c r="AE161" s="12"/>
      <c r="AF161" s="12"/>
      <c r="AG161" s="12"/>
      <c r="AH161" s="12"/>
      <c r="AI161" s="12"/>
    </row>
    <row r="162" spans="1:35" s="10" customFormat="1" x14ac:dyDescent="0.25">
      <c r="A162" s="12"/>
      <c r="B162" s="12"/>
      <c r="C162" s="12"/>
      <c r="D162"/>
      <c r="E162" s="24"/>
      <c r="F162" s="23"/>
      <c r="G162" s="23"/>
      <c r="H162" s="26"/>
      <c r="I162" s="22"/>
      <c r="J162" s="22"/>
      <c r="K162" s="22"/>
      <c r="L162" s="22"/>
      <c r="M162" s="21"/>
      <c r="N162" s="22"/>
      <c r="O162" s="22"/>
      <c r="P162" s="22"/>
      <c r="Q162" s="23"/>
      <c r="R162" s="23"/>
      <c r="S162" s="22"/>
      <c r="T162" s="21"/>
      <c r="U162"/>
      <c r="V162"/>
      <c r="W162"/>
      <c r="X162"/>
      <c r="Y162"/>
      <c r="Z162" s="12"/>
      <c r="AA162" s="12"/>
      <c r="AB162" s="12"/>
      <c r="AC162" s="12"/>
      <c r="AD162" s="12"/>
      <c r="AE162" s="12"/>
      <c r="AF162" s="12"/>
      <c r="AG162" s="12"/>
      <c r="AH162" s="12"/>
      <c r="AI162" s="12"/>
    </row>
    <row r="163" spans="1:35" s="10" customFormat="1" x14ac:dyDescent="0.25">
      <c r="A163" s="12"/>
      <c r="B163" s="12"/>
      <c r="C163" s="12"/>
      <c r="D163"/>
      <c r="E163" s="24"/>
      <c r="F163" s="23"/>
      <c r="G163" s="23"/>
      <c r="H163" s="26"/>
      <c r="I163" s="22"/>
      <c r="J163" s="22"/>
      <c r="K163" s="22"/>
      <c r="L163" s="22"/>
      <c r="M163" s="21"/>
      <c r="N163" s="22"/>
      <c r="O163" s="22"/>
      <c r="P163" s="22"/>
      <c r="Q163" s="23"/>
      <c r="R163" s="23"/>
      <c r="S163" s="22"/>
      <c r="T163" s="21"/>
      <c r="U163"/>
      <c r="V163"/>
      <c r="W163"/>
      <c r="X163"/>
      <c r="Y163"/>
      <c r="Z163" s="12"/>
      <c r="AA163" s="12"/>
      <c r="AB163" s="12"/>
      <c r="AC163" s="12"/>
      <c r="AD163" s="12"/>
      <c r="AE163" s="12"/>
      <c r="AF163" s="12"/>
      <c r="AG163" s="12"/>
      <c r="AH163" s="12"/>
      <c r="AI163" s="12"/>
    </row>
    <row r="164" spans="1:35" s="10" customFormat="1" x14ac:dyDescent="0.25">
      <c r="A164" s="12"/>
      <c r="B164" s="12"/>
      <c r="C164" s="12"/>
      <c r="D164"/>
      <c r="E164" s="24"/>
      <c r="F164" s="23"/>
      <c r="G164" s="23"/>
      <c r="H164" s="26"/>
      <c r="I164" s="22"/>
      <c r="J164" s="22"/>
      <c r="K164" s="22"/>
      <c r="L164" s="22"/>
      <c r="M164" s="21"/>
      <c r="N164" s="22"/>
      <c r="O164" s="22"/>
      <c r="P164" s="22"/>
      <c r="Q164" s="23"/>
      <c r="R164" s="23"/>
      <c r="S164" s="22"/>
      <c r="T164" s="21"/>
      <c r="U164"/>
      <c r="V164"/>
      <c r="W164"/>
      <c r="X164"/>
      <c r="Y164"/>
      <c r="Z164" s="12"/>
      <c r="AA164" s="12"/>
      <c r="AB164" s="12"/>
      <c r="AC164" s="12"/>
      <c r="AD164" s="12"/>
      <c r="AE164" s="12"/>
      <c r="AF164" s="12"/>
      <c r="AG164" s="12"/>
      <c r="AH164" s="12"/>
      <c r="AI164" s="12"/>
    </row>
    <row r="165" spans="1:35" s="10" customFormat="1" x14ac:dyDescent="0.25">
      <c r="A165" s="12"/>
      <c r="B165" s="12"/>
      <c r="C165" s="12"/>
      <c r="D165"/>
      <c r="E165" s="24"/>
      <c r="F165" s="23"/>
      <c r="G165" s="23"/>
      <c r="H165" s="26"/>
      <c r="I165" s="22"/>
      <c r="J165" s="22"/>
      <c r="K165" s="22"/>
      <c r="L165" s="22"/>
      <c r="M165" s="21"/>
      <c r="N165" s="22"/>
      <c r="O165" s="22"/>
      <c r="P165" s="22"/>
      <c r="Q165" s="23"/>
      <c r="R165" s="23"/>
      <c r="S165" s="22"/>
      <c r="T165" s="21"/>
      <c r="U165"/>
      <c r="V165"/>
      <c r="W165"/>
      <c r="X165"/>
      <c r="Y165"/>
      <c r="Z165" s="12"/>
      <c r="AA165" s="12"/>
      <c r="AB165" s="12"/>
      <c r="AC165" s="12"/>
      <c r="AD165" s="12"/>
      <c r="AE165" s="12"/>
      <c r="AF165" s="12"/>
      <c r="AG165" s="12"/>
      <c r="AH165" s="12"/>
      <c r="AI165" s="12"/>
    </row>
    <row r="166" spans="1:35" s="10" customFormat="1" x14ac:dyDescent="0.25">
      <c r="A166" s="12"/>
      <c r="B166" s="12"/>
      <c r="C166" s="12"/>
      <c r="D166"/>
      <c r="E166" s="24"/>
      <c r="F166" s="23"/>
      <c r="G166" s="23"/>
      <c r="H166" s="26"/>
      <c r="I166" s="22"/>
      <c r="J166" s="22"/>
      <c r="K166" s="22"/>
      <c r="L166" s="22"/>
      <c r="M166" s="21"/>
      <c r="N166" s="22"/>
      <c r="O166" s="22"/>
      <c r="P166" s="22"/>
      <c r="Q166" s="23"/>
      <c r="R166" s="23"/>
      <c r="S166" s="22"/>
      <c r="T166" s="21"/>
      <c r="U166"/>
      <c r="V166"/>
      <c r="W166"/>
      <c r="X166"/>
      <c r="Y166"/>
      <c r="Z166" s="12"/>
      <c r="AA166" s="12"/>
      <c r="AB166" s="12"/>
      <c r="AC166" s="12"/>
      <c r="AD166" s="12"/>
      <c r="AE166" s="12"/>
      <c r="AF166" s="12"/>
      <c r="AG166" s="12"/>
      <c r="AH166" s="12"/>
      <c r="AI166" s="12"/>
    </row>
    <row r="167" spans="1:35" s="10" customFormat="1" x14ac:dyDescent="0.25">
      <c r="A167" s="12"/>
      <c r="B167" s="12"/>
      <c r="C167" s="12"/>
      <c r="D167"/>
      <c r="E167" s="24"/>
      <c r="F167" s="23"/>
      <c r="G167" s="23"/>
      <c r="H167" s="26"/>
      <c r="I167" s="22"/>
      <c r="J167" s="22"/>
      <c r="K167" s="22"/>
      <c r="L167" s="22"/>
      <c r="M167" s="21"/>
      <c r="N167" s="22"/>
      <c r="O167" s="22"/>
      <c r="P167" s="22"/>
      <c r="Q167" s="23"/>
      <c r="R167" s="23"/>
      <c r="S167" s="22"/>
      <c r="T167" s="21"/>
      <c r="U167"/>
      <c r="V167"/>
      <c r="W167"/>
      <c r="X167"/>
      <c r="Y167"/>
      <c r="Z167" s="12"/>
      <c r="AA167" s="12"/>
      <c r="AB167" s="12"/>
      <c r="AC167" s="12"/>
      <c r="AD167" s="12"/>
      <c r="AE167" s="12"/>
      <c r="AF167" s="12"/>
      <c r="AG167" s="12"/>
      <c r="AH167" s="12"/>
      <c r="AI167" s="12"/>
    </row>
    <row r="168" spans="1:35" s="10" customFormat="1" x14ac:dyDescent="0.25">
      <c r="A168" s="12"/>
      <c r="B168" s="12"/>
      <c r="C168" s="12"/>
      <c r="D168"/>
      <c r="E168" s="24"/>
      <c r="F168" s="23"/>
      <c r="G168" s="23"/>
      <c r="H168" s="26"/>
      <c r="I168" s="22"/>
      <c r="J168" s="22"/>
      <c r="K168" s="22"/>
      <c r="L168" s="22"/>
      <c r="M168" s="21"/>
      <c r="N168" s="22"/>
      <c r="O168" s="22"/>
      <c r="P168" s="22"/>
      <c r="Q168" s="23"/>
      <c r="R168" s="23"/>
      <c r="S168" s="22"/>
      <c r="T168" s="21"/>
      <c r="U168"/>
      <c r="V168"/>
      <c r="W168"/>
      <c r="X168"/>
      <c r="Y168"/>
      <c r="Z168" s="12"/>
      <c r="AA168" s="12"/>
      <c r="AB168" s="12"/>
      <c r="AC168" s="12"/>
      <c r="AD168" s="12"/>
      <c r="AE168" s="12"/>
      <c r="AF168" s="12"/>
      <c r="AG168" s="12"/>
      <c r="AH168" s="12"/>
      <c r="AI168" s="12"/>
    </row>
    <row r="169" spans="1:35" s="10" customFormat="1" x14ac:dyDescent="0.25">
      <c r="A169" s="12"/>
      <c r="B169" s="12"/>
      <c r="C169" s="12"/>
      <c r="D169"/>
      <c r="E169" s="24"/>
      <c r="F169" s="23"/>
      <c r="G169" s="23"/>
      <c r="H169" s="26"/>
      <c r="I169" s="22"/>
      <c r="J169" s="22"/>
      <c r="K169" s="22"/>
      <c r="L169" s="22"/>
      <c r="M169" s="21"/>
      <c r="N169" s="22"/>
      <c r="O169" s="22"/>
      <c r="P169" s="22"/>
      <c r="Q169" s="23"/>
      <c r="R169" s="23"/>
      <c r="S169" s="22"/>
      <c r="T169" s="21"/>
      <c r="U169"/>
      <c r="V169"/>
      <c r="W169"/>
      <c r="X169"/>
      <c r="Y169"/>
      <c r="Z169" s="12"/>
      <c r="AA169" s="12"/>
      <c r="AB169" s="12"/>
      <c r="AC169" s="12"/>
      <c r="AD169" s="12"/>
      <c r="AE169" s="12"/>
      <c r="AF169" s="12"/>
      <c r="AG169" s="12"/>
      <c r="AH169" s="12"/>
      <c r="AI169" s="12"/>
    </row>
    <row r="170" spans="1:35" s="10" customFormat="1" x14ac:dyDescent="0.25">
      <c r="A170" s="12"/>
      <c r="B170" s="12"/>
      <c r="C170" s="12"/>
      <c r="D170"/>
      <c r="E170" s="24"/>
      <c r="F170" s="23"/>
      <c r="G170" s="23"/>
      <c r="H170" s="26"/>
      <c r="I170" s="22"/>
      <c r="J170" s="22"/>
      <c r="K170" s="22"/>
      <c r="L170" s="22"/>
      <c r="M170" s="21"/>
      <c r="N170" s="22"/>
      <c r="O170" s="22"/>
      <c r="P170" s="22"/>
      <c r="Q170" s="23"/>
      <c r="R170" s="23"/>
      <c r="S170" s="22"/>
      <c r="T170" s="21"/>
      <c r="U170"/>
      <c r="V170"/>
      <c r="W170"/>
      <c r="X170"/>
      <c r="Y170"/>
      <c r="Z170" s="12"/>
      <c r="AA170" s="12"/>
      <c r="AB170" s="12"/>
      <c r="AC170" s="12"/>
      <c r="AD170" s="12"/>
      <c r="AE170" s="12"/>
      <c r="AF170" s="12"/>
      <c r="AG170" s="12"/>
      <c r="AH170" s="12"/>
      <c r="AI170" s="12"/>
    </row>
    <row r="171" spans="1:35" s="10" customFormat="1" x14ac:dyDescent="0.25">
      <c r="A171" s="12"/>
      <c r="B171" s="12"/>
      <c r="C171" s="12"/>
      <c r="D171"/>
      <c r="E171" s="24"/>
      <c r="F171" s="23"/>
      <c r="G171" s="23"/>
      <c r="H171" s="26"/>
      <c r="I171" s="22"/>
      <c r="J171" s="22"/>
      <c r="K171" s="22"/>
      <c r="L171" s="22"/>
      <c r="M171" s="21"/>
      <c r="N171" s="22"/>
      <c r="O171" s="22"/>
      <c r="P171" s="22"/>
      <c r="Q171" s="23"/>
      <c r="R171" s="23"/>
      <c r="S171" s="22"/>
      <c r="T171" s="21"/>
      <c r="U171"/>
      <c r="V171"/>
      <c r="W171"/>
      <c r="X171"/>
      <c r="Y171"/>
      <c r="Z171" s="12"/>
      <c r="AA171" s="12"/>
      <c r="AB171" s="12"/>
      <c r="AC171" s="12"/>
      <c r="AD171" s="12"/>
      <c r="AE171" s="12"/>
      <c r="AF171" s="12"/>
      <c r="AG171" s="12"/>
      <c r="AH171" s="12"/>
      <c r="AI171" s="12"/>
    </row>
    <row r="172" spans="1:35" s="10" customFormat="1" x14ac:dyDescent="0.25">
      <c r="A172" s="12"/>
      <c r="B172" s="12"/>
      <c r="C172" s="12"/>
      <c r="D172"/>
      <c r="E172" s="24"/>
      <c r="F172" s="23"/>
      <c r="G172" s="23"/>
      <c r="H172" s="26"/>
      <c r="I172" s="22"/>
      <c r="J172" s="22"/>
      <c r="K172" s="22"/>
      <c r="L172" s="22"/>
      <c r="M172" s="21"/>
      <c r="N172" s="22"/>
      <c r="O172" s="22"/>
      <c r="P172" s="22"/>
      <c r="Q172" s="23"/>
      <c r="R172" s="23"/>
      <c r="S172" s="22"/>
      <c r="T172" s="21"/>
      <c r="U172"/>
      <c r="V172"/>
      <c r="W172"/>
      <c r="X172"/>
      <c r="Y172"/>
      <c r="Z172" s="12"/>
      <c r="AA172" s="12"/>
      <c r="AB172" s="12"/>
      <c r="AC172" s="12"/>
      <c r="AD172" s="12"/>
      <c r="AE172" s="12"/>
      <c r="AF172" s="12"/>
      <c r="AG172" s="12"/>
      <c r="AH172" s="12"/>
      <c r="AI172" s="12"/>
    </row>
    <row r="173" spans="1:35" s="10" customFormat="1" x14ac:dyDescent="0.25">
      <c r="A173" s="12"/>
      <c r="B173" s="12"/>
      <c r="C173" s="12"/>
      <c r="D173"/>
      <c r="E173" s="24"/>
      <c r="F173" s="23"/>
      <c r="G173" s="23"/>
      <c r="H173" s="26"/>
      <c r="I173" s="22"/>
      <c r="J173" s="22"/>
      <c r="K173" s="22"/>
      <c r="L173" s="22"/>
      <c r="M173" s="21"/>
      <c r="N173" s="22"/>
      <c r="O173" s="22"/>
      <c r="P173" s="22"/>
      <c r="Q173" s="23"/>
      <c r="R173" s="23"/>
      <c r="S173" s="22"/>
      <c r="T173" s="21"/>
      <c r="U173"/>
      <c r="V173"/>
      <c r="W173"/>
      <c r="X173"/>
      <c r="Y173"/>
      <c r="Z173" s="12"/>
      <c r="AA173" s="12"/>
      <c r="AB173" s="12"/>
      <c r="AC173" s="12"/>
      <c r="AD173" s="12"/>
      <c r="AE173" s="12"/>
      <c r="AF173" s="12"/>
      <c r="AG173" s="12"/>
      <c r="AH173" s="12"/>
      <c r="AI173" s="12"/>
    </row>
    <row r="174" spans="1:35" s="10" customFormat="1" x14ac:dyDescent="0.25">
      <c r="A174" s="12"/>
      <c r="B174" s="12"/>
      <c r="C174" s="12"/>
      <c r="D174"/>
      <c r="E174" s="24"/>
      <c r="F174" s="23"/>
      <c r="G174" s="23"/>
      <c r="H174" s="26"/>
      <c r="I174" s="22"/>
      <c r="J174" s="22"/>
      <c r="K174" s="22"/>
      <c r="L174" s="22"/>
      <c r="M174" s="21"/>
      <c r="N174" s="22"/>
      <c r="O174" s="22"/>
      <c r="P174" s="22"/>
      <c r="Q174" s="23"/>
      <c r="R174" s="23"/>
      <c r="S174" s="22"/>
      <c r="T174" s="21"/>
      <c r="U174"/>
      <c r="V174"/>
      <c r="W174"/>
      <c r="X174"/>
      <c r="Y174"/>
      <c r="Z174" s="12"/>
      <c r="AA174" s="12"/>
      <c r="AB174" s="12"/>
      <c r="AC174" s="12"/>
      <c r="AD174" s="12"/>
      <c r="AE174" s="12"/>
      <c r="AF174" s="12"/>
      <c r="AG174" s="12"/>
      <c r="AH174" s="12"/>
      <c r="AI174" s="12"/>
    </row>
    <row r="175" spans="1:35" s="10" customFormat="1" x14ac:dyDescent="0.25">
      <c r="A175" s="12"/>
      <c r="B175" s="12"/>
      <c r="C175" s="12"/>
      <c r="D175"/>
      <c r="E175" s="24"/>
      <c r="F175" s="23"/>
      <c r="G175" s="23"/>
      <c r="H175" s="26"/>
      <c r="I175" s="22"/>
      <c r="J175" s="22"/>
      <c r="K175" s="22"/>
      <c r="L175" s="22"/>
      <c r="M175" s="21"/>
      <c r="N175" s="22"/>
      <c r="O175" s="22"/>
      <c r="P175" s="22"/>
      <c r="Q175" s="23"/>
      <c r="R175" s="23"/>
      <c r="S175" s="22"/>
      <c r="T175" s="21"/>
      <c r="U175"/>
      <c r="V175"/>
      <c r="W175"/>
      <c r="X175"/>
      <c r="Y175"/>
      <c r="Z175" s="12"/>
      <c r="AA175" s="12"/>
      <c r="AB175" s="12"/>
      <c r="AC175" s="12"/>
      <c r="AD175" s="12"/>
      <c r="AE175" s="12"/>
      <c r="AF175" s="12"/>
      <c r="AG175" s="12"/>
      <c r="AH175" s="12"/>
      <c r="AI175" s="12"/>
    </row>
    <row r="176" spans="1:35" s="10" customFormat="1" x14ac:dyDescent="0.25">
      <c r="A176" s="12"/>
      <c r="B176" s="12"/>
      <c r="C176" s="12"/>
      <c r="D176"/>
      <c r="E176" s="24"/>
      <c r="F176" s="23"/>
      <c r="G176" s="23"/>
      <c r="H176" s="26"/>
      <c r="I176" s="22"/>
      <c r="J176" s="22"/>
      <c r="K176" s="22"/>
      <c r="L176" s="22"/>
      <c r="M176" s="21"/>
      <c r="N176" s="22"/>
      <c r="O176" s="22"/>
      <c r="P176" s="22"/>
      <c r="Q176" s="23"/>
      <c r="R176" s="23"/>
      <c r="S176" s="22"/>
      <c r="T176" s="21"/>
      <c r="U176"/>
      <c r="V176"/>
      <c r="W176"/>
      <c r="X176"/>
      <c r="Y176" s="12"/>
      <c r="Z176" s="12"/>
      <c r="AA176" s="12"/>
      <c r="AB176" s="12"/>
      <c r="AC176" s="12"/>
      <c r="AD176" s="12"/>
      <c r="AE176" s="12"/>
      <c r="AF176" s="12"/>
      <c r="AG176" s="12"/>
      <c r="AH176" s="12"/>
      <c r="AI176" s="12"/>
    </row>
    <row r="177" spans="1:35" s="10" customFormat="1" x14ac:dyDescent="0.25">
      <c r="A177" s="12"/>
      <c r="B177" s="12"/>
      <c r="C177" s="12"/>
      <c r="D177"/>
      <c r="E177" s="24"/>
      <c r="F177" s="23"/>
      <c r="G177" s="23"/>
      <c r="H177" s="26"/>
      <c r="I177" s="22"/>
      <c r="J177" s="22"/>
      <c r="K177" s="22"/>
      <c r="L177" s="22"/>
      <c r="M177" s="21"/>
      <c r="N177" s="22"/>
      <c r="O177" s="22"/>
      <c r="P177" s="22"/>
      <c r="Q177" s="23"/>
      <c r="R177" s="23"/>
      <c r="S177" s="22"/>
      <c r="T177" s="21"/>
      <c r="U177"/>
      <c r="V177"/>
      <c r="W177"/>
      <c r="X177"/>
      <c r="Y177" s="12"/>
      <c r="Z177" s="12"/>
      <c r="AA177" s="12"/>
      <c r="AB177" s="12"/>
      <c r="AC177" s="12"/>
      <c r="AD177" s="12"/>
      <c r="AE177" s="12"/>
      <c r="AF177" s="12"/>
      <c r="AG177" s="12"/>
      <c r="AH177" s="12"/>
      <c r="AI177" s="12"/>
    </row>
    <row r="178" spans="1:35" s="10" customFormat="1" x14ac:dyDescent="0.25">
      <c r="A178" s="12"/>
      <c r="B178" s="12"/>
      <c r="C178" s="12"/>
      <c r="D178"/>
      <c r="E178" s="24"/>
      <c r="F178" s="23"/>
      <c r="G178" s="23"/>
      <c r="H178" s="26"/>
      <c r="I178" s="22"/>
      <c r="J178" s="22"/>
      <c r="K178" s="22"/>
      <c r="L178" s="22"/>
      <c r="M178" s="21"/>
      <c r="N178" s="22"/>
      <c r="O178" s="22"/>
      <c r="P178" s="22"/>
      <c r="Q178" s="23"/>
      <c r="R178" s="23"/>
      <c r="S178" s="22"/>
      <c r="T178" s="21"/>
      <c r="U178"/>
      <c r="V178"/>
      <c r="W178"/>
      <c r="X178"/>
      <c r="Y178" s="12"/>
      <c r="Z178" s="12"/>
      <c r="AA178" s="12"/>
      <c r="AB178" s="12"/>
      <c r="AC178" s="12"/>
      <c r="AD178" s="12"/>
      <c r="AE178" s="12"/>
      <c r="AF178" s="12"/>
      <c r="AG178" s="12"/>
      <c r="AH178" s="12"/>
      <c r="AI178" s="12"/>
    </row>
    <row r="179" spans="1:35" s="10" customFormat="1" x14ac:dyDescent="0.25">
      <c r="A179" s="12"/>
      <c r="B179" s="12"/>
      <c r="C179" s="12"/>
      <c r="D179"/>
      <c r="E179" s="24"/>
      <c r="F179" s="23"/>
      <c r="G179" s="23"/>
      <c r="H179" s="26"/>
      <c r="I179" s="22"/>
      <c r="J179" s="22"/>
      <c r="K179" s="22"/>
      <c r="L179" s="22"/>
      <c r="M179" s="21"/>
      <c r="N179" s="22"/>
      <c r="O179" s="22"/>
      <c r="P179" s="22"/>
      <c r="Q179" s="23"/>
      <c r="R179" s="23"/>
      <c r="S179" s="22"/>
      <c r="T179" s="21"/>
      <c r="U179"/>
      <c r="V179"/>
      <c r="W179"/>
      <c r="X179"/>
      <c r="Y179" s="12"/>
      <c r="Z179" s="12"/>
      <c r="AA179" s="12"/>
      <c r="AB179" s="12"/>
      <c r="AC179" s="12"/>
      <c r="AD179" s="12"/>
      <c r="AE179" s="12"/>
      <c r="AF179" s="12"/>
      <c r="AG179" s="12"/>
      <c r="AH179" s="12"/>
      <c r="AI179" s="12"/>
    </row>
    <row r="180" spans="1:35" s="10" customFormat="1" x14ac:dyDescent="0.25">
      <c r="A180" s="12"/>
      <c r="B180" s="12"/>
      <c r="C180" s="12"/>
      <c r="D180"/>
      <c r="E180" s="24"/>
      <c r="F180" s="23"/>
      <c r="G180" s="22"/>
      <c r="H180" s="25"/>
      <c r="I180" s="22"/>
      <c r="J180" s="22"/>
      <c r="K180" s="22"/>
      <c r="L180" s="22"/>
      <c r="M180" s="24"/>
      <c r="N180" s="22"/>
      <c r="O180" s="22"/>
      <c r="P180" s="22"/>
      <c r="Q180" s="22"/>
      <c r="R180" s="22"/>
      <c r="S180" s="22"/>
      <c r="T180" s="19"/>
      <c r="U180"/>
      <c r="V180"/>
      <c r="W180"/>
      <c r="X180"/>
      <c r="Y180" s="12"/>
      <c r="Z180" s="12"/>
      <c r="AA180" s="12"/>
      <c r="AB180" s="12"/>
      <c r="AC180" s="12"/>
      <c r="AD180" s="12"/>
      <c r="AE180" s="12"/>
      <c r="AF180" s="12"/>
      <c r="AG180" s="12"/>
      <c r="AH180" s="12"/>
      <c r="AI180" s="12"/>
    </row>
    <row r="181" spans="1:35" s="10" customFormat="1" x14ac:dyDescent="0.25">
      <c r="A181" s="12"/>
      <c r="B181" s="12"/>
      <c r="C181" s="12"/>
      <c r="D181"/>
      <c r="E181"/>
      <c r="F181"/>
      <c r="G181"/>
      <c r="H181"/>
      <c r="I181"/>
      <c r="J181"/>
      <c r="K181"/>
      <c r="L181"/>
      <c r="M181"/>
      <c r="N181"/>
      <c r="O181"/>
      <c r="P181"/>
      <c r="Q181"/>
      <c r="R181"/>
      <c r="S181"/>
      <c r="T181"/>
      <c r="U181"/>
      <c r="V181"/>
      <c r="W181"/>
      <c r="X181"/>
      <c r="Y181" s="12"/>
      <c r="Z181" s="12"/>
      <c r="AA181" s="12"/>
      <c r="AB181" s="12"/>
      <c r="AC181" s="12"/>
      <c r="AD181" s="12"/>
      <c r="AE181" s="12"/>
      <c r="AF181" s="12"/>
      <c r="AG181" s="12"/>
      <c r="AH181" s="12"/>
      <c r="AI181" s="12"/>
    </row>
    <row r="182" spans="1:35" s="10" customFormat="1" x14ac:dyDescent="0.25">
      <c r="A182" s="12"/>
      <c r="B182" s="12"/>
      <c r="C182" s="12"/>
      <c r="D182"/>
      <c r="E182"/>
      <c r="F182"/>
      <c r="G182"/>
      <c r="H182"/>
      <c r="I182"/>
      <c r="J182"/>
      <c r="K182"/>
      <c r="L182"/>
      <c r="M182"/>
      <c r="N182"/>
      <c r="O182"/>
      <c r="P182"/>
      <c r="Q182"/>
      <c r="R182"/>
      <c r="S182"/>
      <c r="T182"/>
      <c r="U182"/>
      <c r="V182"/>
      <c r="W182"/>
      <c r="X182"/>
      <c r="Y182" s="12"/>
      <c r="Z182" s="12"/>
      <c r="AA182" s="12"/>
      <c r="AB182" s="12"/>
      <c r="AC182" s="12"/>
      <c r="AD182" s="12"/>
      <c r="AE182" s="12"/>
      <c r="AF182" s="12"/>
      <c r="AG182" s="12"/>
      <c r="AH182" s="12"/>
      <c r="AI182" s="12"/>
    </row>
    <row r="183" spans="1:35" s="10" customFormat="1" x14ac:dyDescent="0.25">
      <c r="A183" s="12"/>
      <c r="B183" s="12"/>
      <c r="C183" s="12"/>
      <c r="D183"/>
      <c r="E183"/>
      <c r="F183"/>
      <c r="G183"/>
      <c r="H183"/>
      <c r="I183"/>
      <c r="J183"/>
      <c r="K183"/>
      <c r="L183"/>
      <c r="M183"/>
      <c r="N183"/>
      <c r="O183"/>
      <c r="P183"/>
      <c r="Q183"/>
      <c r="R183"/>
      <c r="S183"/>
      <c r="T183"/>
      <c r="U183"/>
      <c r="V183"/>
      <c r="W183"/>
      <c r="X183"/>
      <c r="Y183" s="12"/>
      <c r="Z183" s="12"/>
      <c r="AA183" s="12"/>
      <c r="AB183" s="12"/>
      <c r="AC183" s="12"/>
      <c r="AD183" s="12"/>
      <c r="AE183" s="12"/>
      <c r="AF183" s="12"/>
      <c r="AG183" s="12"/>
      <c r="AH183" s="12"/>
      <c r="AI183" s="12"/>
    </row>
    <row r="184" spans="1:35" s="10" customFormat="1" x14ac:dyDescent="0.25">
      <c r="A184" s="12"/>
      <c r="B184" s="12"/>
      <c r="C184" s="12"/>
      <c r="D184"/>
      <c r="E184"/>
      <c r="F184"/>
      <c r="G184"/>
      <c r="H184"/>
      <c r="I184"/>
      <c r="J184"/>
      <c r="K184"/>
      <c r="L184"/>
      <c r="M184"/>
      <c r="N184"/>
      <c r="O184"/>
      <c r="P184"/>
      <c r="Q184"/>
      <c r="R184"/>
      <c r="S184"/>
      <c r="T184"/>
      <c r="U184"/>
      <c r="V184"/>
      <c r="W184"/>
      <c r="X184"/>
      <c r="Y184" s="12"/>
      <c r="Z184" s="12"/>
      <c r="AA184" s="12"/>
      <c r="AB184" s="12"/>
      <c r="AC184" s="12"/>
      <c r="AD184" s="12"/>
      <c r="AE184" s="12"/>
      <c r="AF184" s="12"/>
      <c r="AG184" s="12"/>
      <c r="AH184" s="12"/>
      <c r="AI184" s="12"/>
    </row>
    <row r="185" spans="1:35" s="10" customFormat="1" x14ac:dyDescent="0.25">
      <c r="A185" s="12"/>
      <c r="B185" s="12"/>
      <c r="C185" s="12"/>
      <c r="D185"/>
      <c r="E185"/>
      <c r="F185"/>
      <c r="G185"/>
      <c r="H185"/>
      <c r="I185"/>
      <c r="J185"/>
      <c r="K185"/>
      <c r="L185"/>
      <c r="M185"/>
      <c r="N185"/>
      <c r="O185"/>
      <c r="P185"/>
      <c r="Q185"/>
      <c r="R185"/>
      <c r="S185"/>
      <c r="T185"/>
      <c r="U185"/>
      <c r="V185"/>
      <c r="W185"/>
      <c r="X185"/>
      <c r="Y185" s="12"/>
      <c r="Z185" s="12"/>
      <c r="AA185" s="12"/>
      <c r="AB185" s="12"/>
      <c r="AC185" s="12"/>
      <c r="AD185" s="12"/>
      <c r="AE185" s="12"/>
      <c r="AF185" s="12"/>
      <c r="AG185" s="12"/>
      <c r="AH185" s="12"/>
      <c r="AI185" s="12"/>
    </row>
    <row r="186" spans="1:35" s="10" customFormat="1" x14ac:dyDescent="0.25">
      <c r="A186" s="12"/>
      <c r="B186" s="12"/>
      <c r="C186" s="12"/>
      <c r="D186"/>
      <c r="E186"/>
      <c r="F186"/>
      <c r="G186"/>
      <c r="H186"/>
      <c r="I186"/>
      <c r="J186"/>
      <c r="K186"/>
      <c r="L186"/>
      <c r="M186"/>
      <c r="N186"/>
      <c r="O186"/>
      <c r="P186"/>
      <c r="Q186"/>
      <c r="R186"/>
      <c r="S186"/>
      <c r="T186"/>
      <c r="U186"/>
      <c r="V186"/>
      <c r="W186"/>
      <c r="X186"/>
      <c r="Y186" s="12"/>
      <c r="Z186" s="12"/>
      <c r="AA186" s="12"/>
      <c r="AB186" s="12"/>
      <c r="AC186" s="12"/>
      <c r="AD186" s="12"/>
      <c r="AE186" s="12"/>
      <c r="AF186" s="12"/>
      <c r="AG186" s="12"/>
      <c r="AH186" s="12"/>
      <c r="AI186" s="12"/>
    </row>
    <row r="187" spans="1:35" s="10" customFormat="1" x14ac:dyDescent="0.25">
      <c r="A187" s="12"/>
      <c r="B187" s="12"/>
      <c r="C187" s="12"/>
      <c r="D187"/>
      <c r="E187"/>
      <c r="F187"/>
      <c r="G187"/>
      <c r="H187"/>
      <c r="I187"/>
      <c r="J187"/>
      <c r="K187"/>
      <c r="L187"/>
      <c r="M187"/>
      <c r="N187"/>
      <c r="O187"/>
      <c r="P187"/>
      <c r="Q187"/>
      <c r="R187"/>
      <c r="S187"/>
      <c r="T187"/>
      <c r="U187"/>
      <c r="V187"/>
      <c r="W187"/>
      <c r="X187"/>
      <c r="Y187" s="12"/>
      <c r="Z187" s="12"/>
      <c r="AA187" s="12"/>
      <c r="AB187" s="12"/>
      <c r="AC187" s="12"/>
      <c r="AD187" s="12"/>
      <c r="AE187" s="12"/>
      <c r="AF187" s="12"/>
      <c r="AG187" s="12"/>
      <c r="AH187" s="12"/>
      <c r="AI187" s="12"/>
    </row>
    <row r="188" spans="1:35" s="10" customFormat="1" x14ac:dyDescent="0.25">
      <c r="A188" s="12"/>
      <c r="B188" s="12"/>
      <c r="C188" s="12"/>
      <c r="D188"/>
      <c r="E188"/>
      <c r="F188"/>
      <c r="G188"/>
      <c r="H188"/>
      <c r="I188"/>
      <c r="J188"/>
      <c r="K188"/>
      <c r="L188"/>
      <c r="M188"/>
      <c r="N188"/>
      <c r="O188"/>
      <c r="P188"/>
      <c r="Q188"/>
      <c r="R188"/>
      <c r="S188"/>
      <c r="T188"/>
      <c r="U188"/>
      <c r="V188"/>
      <c r="W188"/>
      <c r="X188"/>
      <c r="Y188" s="12"/>
      <c r="Z188" s="12"/>
      <c r="AA188" s="12"/>
      <c r="AB188" s="12"/>
      <c r="AC188" s="12"/>
      <c r="AD188" s="12"/>
      <c r="AE188" s="12"/>
      <c r="AF188" s="12"/>
      <c r="AG188" s="12"/>
      <c r="AH188" s="12"/>
      <c r="AI188" s="12"/>
    </row>
    <row r="189" spans="1:35" s="10" customFormat="1" x14ac:dyDescent="0.25">
      <c r="A189" s="12"/>
      <c r="B189" s="12"/>
      <c r="C189" s="12"/>
      <c r="D189"/>
      <c r="E189"/>
      <c r="F189"/>
      <c r="G189"/>
      <c r="H189"/>
      <c r="I189"/>
      <c r="J189"/>
      <c r="K189"/>
      <c r="L189"/>
      <c r="M189"/>
      <c r="N189"/>
      <c r="O189"/>
      <c r="P189"/>
      <c r="Q189"/>
      <c r="R189"/>
      <c r="S189"/>
      <c r="T189"/>
      <c r="U189"/>
      <c r="V189"/>
      <c r="W189"/>
      <c r="X189"/>
      <c r="Y189" s="12"/>
      <c r="Z189" s="12"/>
      <c r="AA189" s="12"/>
      <c r="AB189" s="12"/>
      <c r="AC189" s="12"/>
      <c r="AD189" s="12"/>
      <c r="AE189" s="12"/>
      <c r="AF189" s="12"/>
      <c r="AG189" s="12"/>
      <c r="AH189" s="12"/>
      <c r="AI189" s="12"/>
    </row>
    <row r="190" spans="1:35" s="10" customFormat="1" x14ac:dyDescent="0.25">
      <c r="A190" s="12"/>
      <c r="B190" s="12"/>
      <c r="C190" s="12"/>
      <c r="D190"/>
      <c r="E190"/>
      <c r="F190"/>
      <c r="G190"/>
      <c r="H190"/>
      <c r="I190"/>
      <c r="J190"/>
      <c r="K190"/>
      <c r="L190"/>
      <c r="M190"/>
      <c r="N190"/>
      <c r="O190"/>
      <c r="P190"/>
      <c r="Q190"/>
      <c r="R190"/>
      <c r="S190"/>
      <c r="T190"/>
      <c r="U190"/>
      <c r="V190"/>
      <c r="W190"/>
      <c r="X190"/>
      <c r="Y190" s="12"/>
      <c r="Z190" s="12"/>
      <c r="AA190" s="12"/>
      <c r="AB190" s="12"/>
      <c r="AC190" s="12"/>
      <c r="AD190" s="12"/>
      <c r="AE190" s="12"/>
      <c r="AF190" s="12"/>
      <c r="AG190" s="12"/>
      <c r="AH190" s="12"/>
      <c r="AI190" s="12"/>
    </row>
    <row r="191" spans="1:35" s="10" customFormat="1" x14ac:dyDescent="0.25">
      <c r="A191" s="12"/>
      <c r="B191" s="12"/>
      <c r="C191" s="12"/>
      <c r="D191"/>
      <c r="E191"/>
      <c r="F191"/>
      <c r="G191"/>
      <c r="H191"/>
      <c r="I191"/>
      <c r="J191"/>
      <c r="K191"/>
      <c r="L191"/>
      <c r="M191"/>
      <c r="N191"/>
      <c r="O191"/>
      <c r="P191"/>
      <c r="Q191"/>
      <c r="R191"/>
      <c r="S191"/>
      <c r="T191"/>
      <c r="U191"/>
      <c r="V191"/>
      <c r="W191"/>
      <c r="X191"/>
      <c r="Y191" s="12"/>
      <c r="Z191" s="12"/>
      <c r="AA191" s="12"/>
      <c r="AB191" s="12"/>
      <c r="AC191" s="12"/>
      <c r="AD191" s="12"/>
      <c r="AE191" s="12"/>
      <c r="AF191" s="12"/>
      <c r="AG191" s="12"/>
      <c r="AH191" s="12"/>
      <c r="AI191" s="12"/>
    </row>
    <row r="192" spans="1:35" s="10" customFormat="1" x14ac:dyDescent="0.25">
      <c r="A192" s="12"/>
      <c r="B192" s="12"/>
      <c r="C192" s="12"/>
      <c r="D192"/>
      <c r="E192"/>
      <c r="F192"/>
      <c r="G192"/>
      <c r="H192"/>
      <c r="I192"/>
      <c r="J192"/>
      <c r="K192"/>
      <c r="L192"/>
      <c r="M192"/>
      <c r="N192"/>
      <c r="O192"/>
      <c r="P192"/>
      <c r="Q192"/>
      <c r="R192"/>
      <c r="S192"/>
      <c r="T192"/>
      <c r="U192"/>
      <c r="V192"/>
      <c r="W192"/>
      <c r="X192"/>
      <c r="Y192" s="12"/>
      <c r="Z192" s="12"/>
      <c r="AA192" s="12"/>
      <c r="AB192" s="12"/>
      <c r="AC192" s="12"/>
      <c r="AD192" s="12"/>
      <c r="AE192" s="12"/>
      <c r="AF192" s="12"/>
      <c r="AG192" s="12"/>
      <c r="AH192" s="12"/>
      <c r="AI192" s="12"/>
    </row>
    <row r="193" spans="1:35" s="10" customFormat="1" x14ac:dyDescent="0.25">
      <c r="A193" s="12"/>
      <c r="B193" s="12"/>
      <c r="C193" s="12"/>
      <c r="D193"/>
      <c r="E193" s="24"/>
      <c r="F193" s="23"/>
      <c r="G193" s="22"/>
      <c r="H193" s="22"/>
      <c r="I193" s="22"/>
      <c r="J193" s="22"/>
      <c r="K193" s="22"/>
      <c r="L193" s="22"/>
      <c r="M193" s="21"/>
      <c r="N193" s="22"/>
      <c r="O193" s="22"/>
      <c r="P193" s="22"/>
      <c r="Q193" s="22"/>
      <c r="R193" s="22"/>
      <c r="S193" s="22"/>
      <c r="T193" s="19"/>
      <c r="U193"/>
      <c r="V193"/>
      <c r="W193"/>
      <c r="X193"/>
      <c r="Y193"/>
      <c r="Z193" s="12"/>
      <c r="AA193" s="12"/>
      <c r="AB193" s="12"/>
      <c r="AC193" s="12"/>
      <c r="AD193" s="12"/>
      <c r="AE193" s="12"/>
      <c r="AF193" s="12"/>
      <c r="AG193" s="12"/>
      <c r="AH193" s="12"/>
      <c r="AI193" s="12"/>
    </row>
    <row r="194" spans="1:35" s="10" customFormat="1" x14ac:dyDescent="0.25">
      <c r="A194" s="12"/>
      <c r="B194" s="12"/>
      <c r="C194" s="12"/>
      <c r="D194"/>
      <c r="E194" s="24"/>
      <c r="F194" s="23"/>
      <c r="G194" s="23"/>
      <c r="H194" s="26"/>
      <c r="I194" s="22"/>
      <c r="J194" s="22"/>
      <c r="K194" s="22"/>
      <c r="L194" s="22"/>
      <c r="M194" s="24"/>
      <c r="N194" s="22"/>
      <c r="O194" s="22"/>
      <c r="P194" s="22"/>
      <c r="Q194" s="22"/>
      <c r="R194" s="28"/>
      <c r="S194" s="22"/>
      <c r="T194" s="24"/>
      <c r="U194"/>
      <c r="V194"/>
      <c r="W194"/>
      <c r="X194"/>
      <c r="Y194"/>
      <c r="Z194" s="12"/>
      <c r="AA194" s="12"/>
      <c r="AB194" s="12"/>
      <c r="AC194" s="12"/>
      <c r="AD194" s="12"/>
      <c r="AE194" s="12"/>
      <c r="AF194" s="12"/>
      <c r="AG194" s="12"/>
      <c r="AH194" s="12"/>
      <c r="AI194" s="12"/>
    </row>
    <row r="195" spans="1:35" s="10" customFormat="1" x14ac:dyDescent="0.25">
      <c r="A195" s="12"/>
      <c r="B195" s="12"/>
      <c r="C195" s="12"/>
      <c r="D195"/>
      <c r="E195" s="19"/>
      <c r="F195" s="23"/>
      <c r="G195" s="22"/>
      <c r="H195" s="22"/>
      <c r="I195" s="22"/>
      <c r="J195" s="22"/>
      <c r="K195" s="22"/>
      <c r="L195" s="23"/>
      <c r="M195" s="24"/>
      <c r="N195" s="22"/>
      <c r="O195" s="22"/>
      <c r="P195" s="22"/>
      <c r="Q195" s="22"/>
      <c r="R195" s="28"/>
      <c r="S195" s="22"/>
      <c r="T195" s="24"/>
      <c r="U195"/>
      <c r="V195"/>
      <c r="W195"/>
      <c r="X195"/>
      <c r="Y195"/>
      <c r="Z195" s="12"/>
      <c r="AA195" s="12"/>
      <c r="AB195" s="12"/>
      <c r="AC195" s="12"/>
      <c r="AD195" s="12"/>
      <c r="AE195" s="12"/>
      <c r="AF195" s="12"/>
      <c r="AG195" s="12"/>
      <c r="AH195" s="12"/>
      <c r="AI195" s="12"/>
    </row>
    <row r="196" spans="1:35" s="10" customFormat="1" x14ac:dyDescent="0.25">
      <c r="A196" s="12"/>
      <c r="B196" s="12"/>
      <c r="C196" s="12"/>
      <c r="D196"/>
      <c r="E196" s="19"/>
      <c r="F196" s="23"/>
      <c r="G196" s="22"/>
      <c r="H196" s="22"/>
      <c r="I196" s="22"/>
      <c r="J196" s="22"/>
      <c r="K196" s="22"/>
      <c r="L196" s="23"/>
      <c r="M196" s="24"/>
      <c r="N196" s="22"/>
      <c r="O196" s="22"/>
      <c r="P196" s="22"/>
      <c r="Q196" s="22"/>
      <c r="R196" s="28"/>
      <c r="S196" s="22"/>
      <c r="T196" s="24"/>
      <c r="U196"/>
      <c r="V196"/>
      <c r="W196"/>
      <c r="X196"/>
      <c r="Y196"/>
      <c r="Z196" s="12"/>
      <c r="AA196" s="12"/>
      <c r="AB196" s="12"/>
      <c r="AC196" s="12"/>
      <c r="AD196" s="12"/>
      <c r="AE196" s="12"/>
      <c r="AF196" s="12"/>
      <c r="AG196" s="12"/>
      <c r="AH196" s="12"/>
      <c r="AI196" s="12"/>
    </row>
    <row r="197" spans="1:35" s="10" customFormat="1" x14ac:dyDescent="0.25">
      <c r="A197" s="12"/>
      <c r="B197" s="12"/>
      <c r="C197" s="12"/>
      <c r="D197"/>
      <c r="E197" s="19"/>
      <c r="F197" s="23"/>
      <c r="G197" s="22"/>
      <c r="H197" s="25"/>
      <c r="I197" s="22"/>
      <c r="J197" s="22"/>
      <c r="K197" s="22"/>
      <c r="L197" s="23"/>
      <c r="M197" s="24"/>
      <c r="N197" s="22"/>
      <c r="O197" s="22"/>
      <c r="P197" s="22"/>
      <c r="Q197" s="22"/>
      <c r="R197" s="28"/>
      <c r="S197" s="22"/>
      <c r="T197" s="24"/>
      <c r="U197"/>
      <c r="V197"/>
      <c r="W197"/>
      <c r="X197"/>
      <c r="Y197"/>
      <c r="Z197" s="12"/>
      <c r="AA197" s="12"/>
      <c r="AB197" s="12"/>
      <c r="AC197" s="12"/>
      <c r="AD197" s="12"/>
      <c r="AE197" s="12"/>
      <c r="AF197" s="12"/>
      <c r="AG197" s="12"/>
      <c r="AH197" s="12"/>
      <c r="AI197" s="12"/>
    </row>
    <row r="198" spans="1:35" s="10" customFormat="1" x14ac:dyDescent="0.25">
      <c r="A198" s="12"/>
      <c r="B198" s="12"/>
      <c r="C198" s="12"/>
      <c r="D198"/>
      <c r="E198" s="19"/>
      <c r="F198" s="23"/>
      <c r="G198" s="22"/>
      <c r="H198" s="22"/>
      <c r="I198" s="22"/>
      <c r="J198" s="22"/>
      <c r="K198" s="22"/>
      <c r="L198" s="23"/>
      <c r="M198" s="24"/>
      <c r="N198" s="22"/>
      <c r="O198" s="22"/>
      <c r="P198" s="22"/>
      <c r="Q198" s="22"/>
      <c r="R198" s="28"/>
      <c r="S198" s="22"/>
      <c r="T198" s="24"/>
      <c r="U198"/>
      <c r="V198"/>
      <c r="W198"/>
      <c r="X198"/>
      <c r="Y198"/>
      <c r="Z198" s="12"/>
      <c r="AA198" s="12"/>
      <c r="AB198" s="12"/>
      <c r="AC198" s="12"/>
      <c r="AD198" s="12"/>
      <c r="AE198" s="12"/>
      <c r="AF198" s="12"/>
      <c r="AG198" s="12"/>
      <c r="AH198" s="12"/>
      <c r="AI198" s="12"/>
    </row>
    <row r="199" spans="1:35" s="10" customFormat="1" x14ac:dyDescent="0.25">
      <c r="A199" s="12"/>
      <c r="B199" s="12"/>
      <c r="C199" s="12"/>
      <c r="D199"/>
      <c r="E199" s="19"/>
      <c r="F199" s="23"/>
      <c r="G199" s="22"/>
      <c r="H199" s="22"/>
      <c r="I199" s="22"/>
      <c r="J199" s="22"/>
      <c r="K199" s="22"/>
      <c r="L199" s="23"/>
      <c r="M199" s="24"/>
      <c r="N199" s="22"/>
      <c r="O199" s="22"/>
      <c r="P199" s="22"/>
      <c r="Q199" s="22"/>
      <c r="R199" s="28"/>
      <c r="S199" s="22"/>
      <c r="T199" s="24"/>
      <c r="U199"/>
      <c r="V199"/>
      <c r="W199"/>
      <c r="X199"/>
      <c r="Y199"/>
      <c r="Z199" s="12"/>
      <c r="AA199" s="12"/>
      <c r="AB199" s="12"/>
      <c r="AC199" s="12"/>
      <c r="AD199" s="12"/>
      <c r="AE199" s="12"/>
      <c r="AF199" s="12"/>
      <c r="AG199" s="12"/>
      <c r="AH199" s="12"/>
      <c r="AI199" s="12"/>
    </row>
    <row r="200" spans="1:35" s="10" customFormat="1" x14ac:dyDescent="0.25">
      <c r="A200" s="12"/>
      <c r="B200" s="12"/>
      <c r="C200" s="12"/>
      <c r="D200"/>
      <c r="E200" s="22"/>
      <c r="F200" s="23"/>
      <c r="G200" s="22"/>
      <c r="H200" s="22"/>
      <c r="I200" s="22"/>
      <c r="J200" s="22"/>
      <c r="K200" s="22"/>
      <c r="L200" s="23"/>
      <c r="M200" s="24"/>
      <c r="N200" s="22"/>
      <c r="O200" s="22"/>
      <c r="P200" s="22"/>
      <c r="Q200" s="22"/>
      <c r="R200" s="28"/>
      <c r="S200" s="22"/>
      <c r="T200" s="24"/>
      <c r="U200"/>
      <c r="V200"/>
      <c r="W200"/>
      <c r="X200"/>
      <c r="Y200"/>
      <c r="Z200" s="12"/>
      <c r="AA200" s="12"/>
      <c r="AB200" s="12"/>
      <c r="AC200" s="12"/>
      <c r="AD200" s="12"/>
      <c r="AE200" s="12"/>
      <c r="AF200" s="12"/>
      <c r="AG200" s="12"/>
      <c r="AH200" s="12"/>
      <c r="AI200" s="12"/>
    </row>
    <row r="201" spans="1:35" s="10" customFormat="1" x14ac:dyDescent="0.25">
      <c r="A201" s="12"/>
      <c r="B201" s="12"/>
      <c r="C201" s="12"/>
      <c r="D201"/>
      <c r="E201" s="22"/>
      <c r="F201" s="23"/>
      <c r="G201" s="22"/>
      <c r="H201" s="22"/>
      <c r="I201" s="22"/>
      <c r="J201" s="22"/>
      <c r="K201" s="22"/>
      <c r="L201" s="23"/>
      <c r="M201" s="24"/>
      <c r="N201" s="22"/>
      <c r="O201" s="22"/>
      <c r="P201" s="22"/>
      <c r="Q201" s="22"/>
      <c r="R201" s="28"/>
      <c r="S201" s="22"/>
      <c r="T201" s="24"/>
      <c r="U201"/>
      <c r="V201"/>
      <c r="W201"/>
      <c r="X201"/>
      <c r="Y201"/>
      <c r="Z201" s="12"/>
      <c r="AA201" s="12"/>
      <c r="AB201" s="12"/>
      <c r="AC201" s="12"/>
      <c r="AD201" s="12"/>
      <c r="AE201" s="12"/>
      <c r="AF201" s="12"/>
      <c r="AG201" s="12"/>
      <c r="AH201" s="12"/>
      <c r="AI201" s="12"/>
    </row>
    <row r="202" spans="1:35" s="10" customFormat="1" x14ac:dyDescent="0.25">
      <c r="A202" s="12"/>
      <c r="B202" s="12"/>
      <c r="C202" s="12"/>
      <c r="D202"/>
      <c r="E202" s="22"/>
      <c r="F202" s="23"/>
      <c r="G202" s="22"/>
      <c r="H202" s="22"/>
      <c r="I202" s="22"/>
      <c r="J202" s="22"/>
      <c r="K202" s="22"/>
      <c r="L202" s="23"/>
      <c r="M202" s="24"/>
      <c r="N202" s="22"/>
      <c r="O202" s="22"/>
      <c r="P202" s="22"/>
      <c r="Q202" s="22"/>
      <c r="R202" s="28"/>
      <c r="S202" s="22"/>
      <c r="T202" s="24"/>
      <c r="U202"/>
      <c r="V202"/>
      <c r="W202"/>
      <c r="X202"/>
      <c r="Y202"/>
      <c r="Z202" s="12"/>
      <c r="AA202" s="12"/>
      <c r="AB202" s="12"/>
      <c r="AC202" s="12"/>
      <c r="AD202" s="12"/>
      <c r="AE202" s="12"/>
      <c r="AF202" s="12"/>
      <c r="AG202" s="12"/>
      <c r="AH202" s="12"/>
      <c r="AI202" s="12"/>
    </row>
    <row r="203" spans="1:35" s="10" customFormat="1" x14ac:dyDescent="0.25">
      <c r="A203" s="12"/>
      <c r="B203" s="12"/>
      <c r="C203" s="12"/>
      <c r="D203"/>
      <c r="E203" s="24"/>
      <c r="F203" s="23"/>
      <c r="G203" s="23"/>
      <c r="H203" s="23"/>
      <c r="I203" s="22"/>
      <c r="J203" s="22"/>
      <c r="K203" s="22"/>
      <c r="L203" s="22"/>
      <c r="M203" s="24"/>
      <c r="N203" s="22"/>
      <c r="O203" s="22"/>
      <c r="P203" s="22"/>
      <c r="Q203" s="22"/>
      <c r="R203" s="28"/>
      <c r="S203" s="22"/>
      <c r="T203" s="24"/>
      <c r="U203"/>
      <c r="V203"/>
      <c r="W203"/>
      <c r="X203"/>
      <c r="Y203"/>
      <c r="Z203" s="12"/>
      <c r="AA203" s="12"/>
      <c r="AB203" s="12"/>
      <c r="AC203" s="12"/>
      <c r="AD203" s="12"/>
      <c r="AE203" s="12"/>
      <c r="AF203" s="12"/>
      <c r="AG203" s="12"/>
      <c r="AH203" s="12"/>
      <c r="AI203" s="12"/>
    </row>
    <row r="204" spans="1:35" s="10" customFormat="1" x14ac:dyDescent="0.25">
      <c r="A204" s="12"/>
      <c r="B204" s="12"/>
      <c r="C204" s="12"/>
      <c r="D204"/>
      <c r="E204" s="24"/>
      <c r="F204" s="23"/>
      <c r="G204" s="23"/>
      <c r="H204" s="23"/>
      <c r="I204" s="22"/>
      <c r="J204" s="22"/>
      <c r="K204" s="22"/>
      <c r="L204" s="22"/>
      <c r="M204" s="24"/>
      <c r="N204" s="22"/>
      <c r="O204" s="22"/>
      <c r="P204" s="22"/>
      <c r="Q204" s="23"/>
      <c r="R204" s="23"/>
      <c r="S204" s="22"/>
      <c r="T204" s="24"/>
      <c r="U204"/>
      <c r="V204"/>
      <c r="W204"/>
      <c r="X204"/>
      <c r="Y204"/>
      <c r="Z204" s="12"/>
      <c r="AA204" s="12"/>
      <c r="AB204" s="12"/>
      <c r="AC204" s="12"/>
      <c r="AD204" s="12"/>
      <c r="AE204" s="12"/>
      <c r="AF204" s="12"/>
      <c r="AG204" s="12"/>
      <c r="AH204" s="12"/>
      <c r="AI204" s="12"/>
    </row>
    <row r="205" spans="1:35" s="10" customFormat="1" x14ac:dyDescent="0.25">
      <c r="A205" s="12"/>
      <c r="B205" s="12"/>
      <c r="C205" s="12"/>
      <c r="D205"/>
      <c r="E205" s="24"/>
      <c r="F205" s="23"/>
      <c r="G205" s="23"/>
      <c r="H205" s="23"/>
      <c r="I205" s="22"/>
      <c r="J205" s="22"/>
      <c r="K205" s="22"/>
      <c r="L205" s="22"/>
      <c r="M205" s="24"/>
      <c r="N205" s="22"/>
      <c r="O205" s="22"/>
      <c r="P205" s="22"/>
      <c r="Q205" s="23"/>
      <c r="R205" s="23"/>
      <c r="S205" s="22"/>
      <c r="T205" s="24"/>
      <c r="U205"/>
      <c r="V205"/>
      <c r="W205"/>
      <c r="X205"/>
      <c r="Y205"/>
      <c r="Z205" s="12"/>
      <c r="AA205" s="12"/>
      <c r="AB205" s="12"/>
      <c r="AC205" s="12"/>
      <c r="AD205" s="12"/>
      <c r="AE205" s="12"/>
      <c r="AF205" s="12"/>
      <c r="AG205" s="12"/>
      <c r="AH205" s="12"/>
      <c r="AI205" s="12"/>
    </row>
    <row r="206" spans="1:35" s="10" customFormat="1" x14ac:dyDescent="0.25">
      <c r="A206" s="12"/>
      <c r="B206" s="12"/>
      <c r="C206" s="12"/>
      <c r="D206"/>
      <c r="E206" s="24"/>
      <c r="F206" s="23"/>
      <c r="G206" s="23"/>
      <c r="H206" s="26"/>
      <c r="I206" s="22"/>
      <c r="J206" s="22"/>
      <c r="K206" s="22"/>
      <c r="L206" s="22"/>
      <c r="M206" s="24"/>
      <c r="N206" s="22"/>
      <c r="O206" s="22"/>
      <c r="P206" s="22"/>
      <c r="Q206" s="23"/>
      <c r="R206" s="23"/>
      <c r="S206" s="22"/>
      <c r="T206" s="24"/>
      <c r="U206"/>
      <c r="V206"/>
      <c r="W206"/>
      <c r="X206"/>
      <c r="Y206"/>
      <c r="Z206" s="12"/>
      <c r="AA206" s="12"/>
      <c r="AB206" s="12"/>
      <c r="AC206" s="12"/>
      <c r="AD206" s="12"/>
      <c r="AE206" s="12"/>
      <c r="AF206" s="12"/>
      <c r="AG206" s="12"/>
      <c r="AH206" s="12"/>
      <c r="AI206" s="12"/>
    </row>
    <row r="207" spans="1:35" s="10" customFormat="1" x14ac:dyDescent="0.25">
      <c r="A207" s="12"/>
      <c r="B207" s="12"/>
      <c r="C207" s="12"/>
      <c r="D207"/>
      <c r="E207" s="24"/>
      <c r="F207" s="23"/>
      <c r="G207" s="23"/>
      <c r="H207" s="26"/>
      <c r="I207" s="22"/>
      <c r="J207" s="22"/>
      <c r="K207" s="22"/>
      <c r="L207" s="22"/>
      <c r="M207" s="24"/>
      <c r="N207" s="22"/>
      <c r="O207" s="22"/>
      <c r="P207" s="22"/>
      <c r="Q207" s="23"/>
      <c r="R207" s="23"/>
      <c r="S207" s="22"/>
      <c r="T207" s="24"/>
      <c r="U207"/>
      <c r="V207"/>
      <c r="W207"/>
      <c r="X207"/>
      <c r="Y207"/>
      <c r="Z207" s="12"/>
      <c r="AA207" s="12"/>
      <c r="AB207" s="12"/>
      <c r="AC207" s="12"/>
      <c r="AD207" s="12"/>
      <c r="AE207" s="12"/>
      <c r="AF207" s="12"/>
      <c r="AG207" s="12"/>
      <c r="AH207" s="12"/>
      <c r="AI207" s="12"/>
    </row>
    <row r="208" spans="1:35" s="10" customFormat="1" x14ac:dyDescent="0.25">
      <c r="A208" s="12"/>
      <c r="B208" s="12"/>
      <c r="C208" s="12"/>
      <c r="D208"/>
      <c r="E208" s="24"/>
      <c r="F208" s="23"/>
      <c r="G208" s="23"/>
      <c r="H208" s="26"/>
      <c r="I208" s="22"/>
      <c r="J208" s="22"/>
      <c r="K208" s="22"/>
      <c r="L208" s="22"/>
      <c r="M208" s="24"/>
      <c r="N208" s="22"/>
      <c r="O208" s="22"/>
      <c r="P208" s="22"/>
      <c r="Q208" s="23"/>
      <c r="R208" s="23"/>
      <c r="S208" s="22"/>
      <c r="T208" s="24"/>
      <c r="U208"/>
      <c r="V208"/>
      <c r="W208"/>
      <c r="X208"/>
      <c r="Y208"/>
      <c r="Z208" s="12"/>
      <c r="AA208" s="12"/>
      <c r="AB208" s="12"/>
      <c r="AC208" s="12"/>
      <c r="AD208" s="12"/>
      <c r="AE208" s="12"/>
      <c r="AF208" s="12"/>
      <c r="AG208" s="12"/>
      <c r="AH208" s="12"/>
      <c r="AI208" s="12"/>
    </row>
    <row r="209" spans="1:35" s="10" customFormat="1" x14ac:dyDescent="0.25">
      <c r="A209" s="12"/>
      <c r="B209" s="12"/>
      <c r="C209" s="12"/>
      <c r="D209"/>
      <c r="E209" s="24"/>
      <c r="F209" s="23"/>
      <c r="G209" s="23"/>
      <c r="H209" s="26"/>
      <c r="I209" s="22"/>
      <c r="J209" s="22"/>
      <c r="K209" s="22"/>
      <c r="L209" s="22"/>
      <c r="M209" s="24"/>
      <c r="N209" s="22"/>
      <c r="O209" s="22"/>
      <c r="P209" s="22"/>
      <c r="Q209" s="23"/>
      <c r="R209" s="23"/>
      <c r="S209" s="22"/>
      <c r="T209" s="24"/>
      <c r="U209"/>
      <c r="V209"/>
      <c r="W209"/>
      <c r="X209"/>
      <c r="Y209"/>
      <c r="Z209" s="12"/>
      <c r="AA209" s="12"/>
      <c r="AB209" s="12"/>
      <c r="AC209" s="12"/>
      <c r="AD209" s="12"/>
      <c r="AE209" s="12"/>
      <c r="AF209" s="12"/>
      <c r="AG209" s="12"/>
      <c r="AH209" s="12"/>
      <c r="AI209" s="12"/>
    </row>
    <row r="210" spans="1:35" s="10" customFormat="1" x14ac:dyDescent="0.25">
      <c r="A210" s="12"/>
      <c r="B210" s="12"/>
      <c r="C210" s="12"/>
      <c r="D210"/>
      <c r="E210" s="24"/>
      <c r="F210" s="23"/>
      <c r="G210" s="23"/>
      <c r="H210" s="26"/>
      <c r="I210" s="22"/>
      <c r="J210" s="22"/>
      <c r="K210" s="22"/>
      <c r="L210" s="22"/>
      <c r="M210" s="24"/>
      <c r="N210" s="22"/>
      <c r="O210" s="22"/>
      <c r="P210" s="22"/>
      <c r="Q210" s="23"/>
      <c r="R210" s="23"/>
      <c r="S210" s="22"/>
      <c r="T210" s="24"/>
      <c r="U210"/>
      <c r="V210"/>
      <c r="W210"/>
      <c r="X210"/>
      <c r="Y210"/>
      <c r="Z210" s="12"/>
      <c r="AA210" s="12"/>
      <c r="AB210" s="12"/>
      <c r="AC210" s="12"/>
      <c r="AD210" s="12"/>
      <c r="AE210" s="12"/>
      <c r="AF210" s="12"/>
      <c r="AG210" s="12"/>
      <c r="AH210" s="12"/>
      <c r="AI210" s="12"/>
    </row>
    <row r="211" spans="1:35" s="10" customFormat="1" x14ac:dyDescent="0.25">
      <c r="A211" s="12"/>
      <c r="B211" s="12"/>
      <c r="C211" s="12"/>
      <c r="D211"/>
      <c r="E211" s="24"/>
      <c r="F211" s="23"/>
      <c r="G211" s="23"/>
      <c r="H211" s="26"/>
      <c r="I211" s="22"/>
      <c r="J211" s="22"/>
      <c r="K211" s="22"/>
      <c r="L211" s="22"/>
      <c r="M211" s="24"/>
      <c r="N211" s="22"/>
      <c r="O211" s="22"/>
      <c r="P211" s="22"/>
      <c r="Q211" s="23"/>
      <c r="R211" s="23"/>
      <c r="S211" s="22"/>
      <c r="T211" s="24"/>
      <c r="U211"/>
      <c r="V211"/>
      <c r="W211"/>
      <c r="X211"/>
      <c r="Y211"/>
      <c r="Z211" s="12"/>
      <c r="AA211" s="12"/>
      <c r="AB211" s="12"/>
      <c r="AC211" s="12"/>
      <c r="AD211" s="12"/>
      <c r="AE211" s="12"/>
      <c r="AF211" s="12"/>
      <c r="AG211" s="12"/>
      <c r="AH211" s="12"/>
      <c r="AI211" s="12"/>
    </row>
    <row r="212" spans="1:35" s="10" customFormat="1" x14ac:dyDescent="0.25">
      <c r="A212" s="12"/>
      <c r="B212" s="12"/>
      <c r="C212" s="12"/>
      <c r="D212"/>
      <c r="E212" s="24"/>
      <c r="F212" s="23"/>
      <c r="G212" s="23"/>
      <c r="H212" s="26"/>
      <c r="I212" s="22"/>
      <c r="J212" s="22"/>
      <c r="K212" s="22"/>
      <c r="L212" s="22"/>
      <c r="M212" s="24"/>
      <c r="N212" s="22"/>
      <c r="O212" s="22"/>
      <c r="P212" s="22"/>
      <c r="Q212" s="23"/>
      <c r="R212" s="23"/>
      <c r="S212" s="22"/>
      <c r="T212" s="24"/>
      <c r="U212"/>
      <c r="V212"/>
      <c r="W212"/>
      <c r="X212"/>
      <c r="Y212"/>
      <c r="Z212" s="12"/>
      <c r="AA212" s="12"/>
      <c r="AB212" s="12"/>
      <c r="AC212" s="12"/>
      <c r="AD212" s="12"/>
      <c r="AE212" s="12"/>
      <c r="AF212" s="12"/>
      <c r="AG212" s="12"/>
      <c r="AH212" s="12"/>
      <c r="AI212" s="12"/>
    </row>
    <row r="213" spans="1:35" s="10" customFormat="1" x14ac:dyDescent="0.25">
      <c r="A213" s="12"/>
      <c r="B213" s="12"/>
      <c r="C213" s="12"/>
      <c r="D213"/>
      <c r="E213" s="24"/>
      <c r="F213" s="23"/>
      <c r="G213" s="23"/>
      <c r="H213" s="26"/>
      <c r="I213" s="22"/>
      <c r="J213" s="22"/>
      <c r="K213" s="22"/>
      <c r="L213" s="22"/>
      <c r="M213" s="21"/>
      <c r="N213" s="22"/>
      <c r="O213" s="22"/>
      <c r="P213" s="22"/>
      <c r="Q213" s="22"/>
      <c r="R213" s="28"/>
      <c r="S213" s="22"/>
      <c r="T213" s="20"/>
      <c r="U213"/>
      <c r="V213"/>
      <c r="W213"/>
      <c r="X213"/>
      <c r="Y213"/>
      <c r="Z213" s="12"/>
      <c r="AA213" s="12"/>
      <c r="AB213" s="12"/>
      <c r="AC213" s="12"/>
      <c r="AD213" s="12"/>
      <c r="AE213" s="12"/>
      <c r="AF213" s="12"/>
      <c r="AG213" s="12"/>
      <c r="AH213" s="12"/>
      <c r="AI213" s="12"/>
    </row>
    <row r="214" spans="1:35" s="10" customFormat="1" x14ac:dyDescent="0.25">
      <c r="A214" s="12"/>
      <c r="B214" s="12"/>
      <c r="C214" s="12"/>
      <c r="D214"/>
      <c r="E214" s="24"/>
      <c r="F214" s="23"/>
      <c r="G214" s="22"/>
      <c r="H214" s="22"/>
      <c r="I214" s="22"/>
      <c r="J214" s="22"/>
      <c r="K214" s="22"/>
      <c r="L214" s="22"/>
      <c r="M214" s="21"/>
      <c r="N214" s="22"/>
      <c r="O214" s="22"/>
      <c r="P214" s="22"/>
      <c r="Q214" s="22"/>
      <c r="R214" s="22"/>
      <c r="S214" s="22"/>
      <c r="T214" s="19"/>
      <c r="U214"/>
      <c r="V214"/>
      <c r="W214"/>
      <c r="X214"/>
      <c r="Y214"/>
      <c r="Z214" s="12"/>
      <c r="AA214" s="12"/>
      <c r="AB214" s="12"/>
      <c r="AC214" s="12"/>
      <c r="AD214" s="12"/>
      <c r="AE214" s="12"/>
      <c r="AF214" s="12"/>
      <c r="AG214" s="12"/>
      <c r="AH214" s="12"/>
      <c r="AI214" s="12"/>
    </row>
    <row r="215" spans="1:35" s="10" customFormat="1" x14ac:dyDescent="0.25">
      <c r="A215" s="12"/>
      <c r="B215" s="12"/>
      <c r="C215" s="12"/>
      <c r="D215"/>
      <c r="E215" s="24"/>
      <c r="F215" s="23"/>
      <c r="G215" s="23"/>
      <c r="H215" s="26"/>
      <c r="I215" s="22"/>
      <c r="J215" s="22"/>
      <c r="K215" s="22"/>
      <c r="L215" s="22"/>
      <c r="M215" s="24"/>
      <c r="N215" s="22"/>
      <c r="O215" s="22"/>
      <c r="P215" s="22"/>
      <c r="Q215" s="22"/>
      <c r="R215" s="28"/>
      <c r="S215" s="22"/>
      <c r="T215" s="24"/>
      <c r="U215"/>
      <c r="V215"/>
      <c r="W215"/>
      <c r="X215"/>
      <c r="Y215"/>
      <c r="Z215" s="12"/>
      <c r="AA215" s="12"/>
      <c r="AB215" s="12"/>
      <c r="AC215" s="12"/>
      <c r="AD215" s="12"/>
      <c r="AE215" s="12"/>
      <c r="AF215" s="12"/>
      <c r="AG215" s="12"/>
      <c r="AH215" s="12"/>
      <c r="AI215" s="12"/>
    </row>
    <row r="216" spans="1:35" s="10" customFormat="1" x14ac:dyDescent="0.25">
      <c r="A216" s="12"/>
      <c r="B216" s="12"/>
      <c r="C216" s="12"/>
      <c r="D216"/>
      <c r="E216" s="19"/>
      <c r="F216" s="23"/>
      <c r="G216" s="22"/>
      <c r="H216" s="22"/>
      <c r="I216" s="22"/>
      <c r="J216" s="22"/>
      <c r="K216" s="22"/>
      <c r="L216" s="23"/>
      <c r="M216" s="24"/>
      <c r="N216" s="22"/>
      <c r="O216" s="22"/>
      <c r="P216" s="22"/>
      <c r="Q216" s="22"/>
      <c r="R216" s="28"/>
      <c r="S216" s="22"/>
      <c r="T216" s="24"/>
      <c r="U216"/>
      <c r="V216"/>
      <c r="W216"/>
      <c r="X216"/>
      <c r="Y216"/>
      <c r="Z216" s="12"/>
      <c r="AA216" s="12"/>
      <c r="AB216" s="12"/>
      <c r="AC216" s="12"/>
      <c r="AD216" s="12"/>
      <c r="AE216" s="12"/>
      <c r="AF216" s="12"/>
      <c r="AG216" s="12"/>
      <c r="AH216" s="12"/>
      <c r="AI216" s="12"/>
    </row>
    <row r="217" spans="1:35" s="10" customFormat="1" x14ac:dyDescent="0.25">
      <c r="A217" s="12"/>
      <c r="B217" s="12"/>
      <c r="C217" s="12"/>
      <c r="D217"/>
      <c r="E217" s="19"/>
      <c r="F217" s="23"/>
      <c r="G217" s="22"/>
      <c r="H217" s="22"/>
      <c r="I217" s="22"/>
      <c r="J217" s="22"/>
      <c r="K217" s="22"/>
      <c r="L217" s="23"/>
      <c r="M217" s="24"/>
      <c r="N217" s="22"/>
      <c r="O217" s="22"/>
      <c r="P217" s="22"/>
      <c r="Q217" s="22"/>
      <c r="R217" s="28"/>
      <c r="S217" s="22"/>
      <c r="T217" s="24"/>
      <c r="U217"/>
      <c r="V217"/>
      <c r="W217"/>
      <c r="X217"/>
      <c r="Y217"/>
      <c r="Z217" s="12"/>
      <c r="AA217" s="12"/>
      <c r="AB217" s="12"/>
      <c r="AC217" s="12"/>
      <c r="AD217" s="12"/>
      <c r="AE217" s="12"/>
      <c r="AF217" s="12"/>
      <c r="AG217" s="12"/>
      <c r="AH217" s="12"/>
      <c r="AI217" s="12"/>
    </row>
    <row r="218" spans="1:35" s="10" customFormat="1" x14ac:dyDescent="0.25">
      <c r="A218" s="12"/>
      <c r="B218" s="12"/>
      <c r="C218" s="12"/>
      <c r="D218"/>
      <c r="E218" s="19"/>
      <c r="F218" s="23"/>
      <c r="G218" s="22"/>
      <c r="H218" s="25"/>
      <c r="I218" s="22"/>
      <c r="J218" s="22"/>
      <c r="K218" s="22"/>
      <c r="L218" s="23"/>
      <c r="M218" s="24"/>
      <c r="N218" s="22"/>
      <c r="O218" s="22"/>
      <c r="P218" s="22"/>
      <c r="Q218" s="22"/>
      <c r="R218" s="28"/>
      <c r="S218" s="22"/>
      <c r="T218" s="24"/>
      <c r="U218"/>
      <c r="V218"/>
      <c r="W218"/>
      <c r="X218"/>
      <c r="Y218"/>
      <c r="Z218" s="12"/>
      <c r="AA218" s="12"/>
      <c r="AB218" s="12"/>
      <c r="AC218" s="12"/>
      <c r="AD218" s="12"/>
      <c r="AE218" s="12"/>
      <c r="AF218" s="12"/>
      <c r="AG218" s="12"/>
      <c r="AH218" s="12"/>
      <c r="AI218" s="12"/>
    </row>
    <row r="219" spans="1:35" s="10" customFormat="1" x14ac:dyDescent="0.25">
      <c r="A219" s="12"/>
      <c r="B219" s="12"/>
      <c r="C219" s="12"/>
      <c r="D219"/>
      <c r="E219" s="19"/>
      <c r="F219" s="23"/>
      <c r="G219" s="22"/>
      <c r="H219" s="22"/>
      <c r="I219" s="22"/>
      <c r="J219" s="22"/>
      <c r="K219" s="22"/>
      <c r="L219" s="23"/>
      <c r="M219" s="24"/>
      <c r="N219" s="22"/>
      <c r="O219" s="22"/>
      <c r="P219" s="22"/>
      <c r="Q219" s="22"/>
      <c r="R219" s="28"/>
      <c r="S219" s="22"/>
      <c r="T219" s="24"/>
      <c r="U219"/>
      <c r="V219"/>
      <c r="W219"/>
      <c r="X219"/>
      <c r="Y219"/>
      <c r="Z219" s="12"/>
      <c r="AA219" s="12"/>
      <c r="AB219" s="12"/>
      <c r="AC219" s="12"/>
      <c r="AD219" s="12"/>
      <c r="AE219" s="12"/>
      <c r="AF219" s="12"/>
      <c r="AG219" s="12"/>
      <c r="AH219" s="12"/>
      <c r="AI219" s="12"/>
    </row>
    <row r="220" spans="1:35" s="10" customFormat="1" x14ac:dyDescent="0.25">
      <c r="A220" s="12"/>
      <c r="B220" s="12"/>
      <c r="C220" s="12"/>
      <c r="D220"/>
      <c r="E220" s="19"/>
      <c r="F220" s="23"/>
      <c r="G220" s="22"/>
      <c r="H220" s="22"/>
      <c r="I220" s="22"/>
      <c r="J220" s="22"/>
      <c r="K220" s="22"/>
      <c r="L220" s="23"/>
      <c r="M220" s="24"/>
      <c r="N220" s="22"/>
      <c r="O220" s="22"/>
      <c r="P220" s="22"/>
      <c r="Q220" s="22"/>
      <c r="R220" s="28"/>
      <c r="S220" s="22"/>
      <c r="T220" s="24"/>
      <c r="U220"/>
      <c r="V220"/>
      <c r="W220"/>
      <c r="X220"/>
      <c r="Y220"/>
      <c r="Z220" s="12"/>
      <c r="AA220" s="12"/>
      <c r="AB220" s="12"/>
      <c r="AC220" s="12"/>
      <c r="AD220" s="12"/>
      <c r="AE220" s="12"/>
      <c r="AF220" s="12"/>
      <c r="AG220" s="12"/>
      <c r="AH220" s="12"/>
      <c r="AI220" s="12"/>
    </row>
    <row r="221" spans="1:35" s="10" customFormat="1" x14ac:dyDescent="0.25">
      <c r="A221" s="12"/>
      <c r="B221" s="12"/>
      <c r="C221" s="12"/>
      <c r="D221"/>
      <c r="E221" s="22"/>
      <c r="F221" s="23"/>
      <c r="G221" s="22"/>
      <c r="H221" s="22"/>
      <c r="I221" s="22"/>
      <c r="J221" s="22"/>
      <c r="K221" s="22"/>
      <c r="L221" s="23"/>
      <c r="M221" s="24"/>
      <c r="N221" s="22"/>
      <c r="O221" s="22"/>
      <c r="P221" s="22"/>
      <c r="Q221" s="22"/>
      <c r="R221" s="28"/>
      <c r="S221" s="22"/>
      <c r="T221" s="24"/>
      <c r="U221"/>
      <c r="V221"/>
      <c r="W221"/>
      <c r="X221"/>
      <c r="Y221"/>
      <c r="Z221" s="12"/>
      <c r="AA221" s="12"/>
      <c r="AB221" s="12"/>
      <c r="AC221" s="12"/>
      <c r="AD221" s="12"/>
      <c r="AE221" s="12"/>
      <c r="AF221" s="12"/>
      <c r="AG221" s="12"/>
      <c r="AH221" s="12"/>
      <c r="AI221" s="12"/>
    </row>
    <row r="222" spans="1:35" s="10" customFormat="1" x14ac:dyDescent="0.25">
      <c r="A222" s="12"/>
      <c r="B222" s="12"/>
      <c r="C222" s="12"/>
      <c r="D222"/>
      <c r="E222" s="22"/>
      <c r="F222" s="23"/>
      <c r="G222" s="22"/>
      <c r="H222" s="22"/>
      <c r="I222" s="22"/>
      <c r="J222" s="22"/>
      <c r="K222" s="22"/>
      <c r="L222" s="23"/>
      <c r="M222" s="24"/>
      <c r="N222" s="22"/>
      <c r="O222" s="22"/>
      <c r="P222" s="22"/>
      <c r="Q222" s="22"/>
      <c r="R222" s="28"/>
      <c r="S222" s="22"/>
      <c r="T222" s="24"/>
      <c r="U222"/>
      <c r="V222"/>
      <c r="W222"/>
      <c r="X222"/>
      <c r="Y222"/>
      <c r="Z222" s="12"/>
      <c r="AA222" s="12"/>
      <c r="AB222" s="12"/>
      <c r="AC222" s="12"/>
      <c r="AD222" s="12"/>
      <c r="AE222" s="12"/>
      <c r="AF222" s="12"/>
      <c r="AG222" s="12"/>
      <c r="AH222" s="12"/>
      <c r="AI222" s="12"/>
    </row>
    <row r="223" spans="1:35" s="10" customFormat="1" x14ac:dyDescent="0.25">
      <c r="A223" s="12"/>
      <c r="B223" s="12"/>
      <c r="C223" s="12"/>
      <c r="D223"/>
      <c r="E223" s="22"/>
      <c r="F223" s="23"/>
      <c r="G223" s="22"/>
      <c r="H223" s="22"/>
      <c r="I223" s="22"/>
      <c r="J223" s="22"/>
      <c r="K223" s="22"/>
      <c r="L223" s="23"/>
      <c r="M223" s="24"/>
      <c r="N223" s="22"/>
      <c r="O223" s="22"/>
      <c r="P223" s="22"/>
      <c r="Q223" s="22"/>
      <c r="R223" s="28"/>
      <c r="S223" s="22"/>
      <c r="T223" s="24"/>
      <c r="U223"/>
      <c r="V223"/>
      <c r="W223"/>
      <c r="X223"/>
      <c r="Y223"/>
      <c r="Z223" s="12"/>
      <c r="AA223" s="12"/>
      <c r="AB223" s="12"/>
      <c r="AC223" s="12"/>
      <c r="AD223" s="12"/>
      <c r="AE223" s="12"/>
      <c r="AF223" s="12"/>
      <c r="AG223" s="12"/>
      <c r="AH223" s="12"/>
      <c r="AI223" s="12"/>
    </row>
    <row r="224" spans="1:35" s="10" customFormat="1" x14ac:dyDescent="0.25">
      <c r="A224" s="12"/>
      <c r="B224" s="12"/>
      <c r="C224" s="12"/>
      <c r="D224"/>
      <c r="E224" s="24"/>
      <c r="F224" s="23"/>
      <c r="G224" s="23"/>
      <c r="H224" s="23"/>
      <c r="I224" s="22"/>
      <c r="J224" s="22"/>
      <c r="K224" s="22"/>
      <c r="L224" s="22"/>
      <c r="M224" s="24"/>
      <c r="N224" s="22"/>
      <c r="O224" s="22"/>
      <c r="P224" s="22"/>
      <c r="Q224" s="22"/>
      <c r="R224" s="28"/>
      <c r="S224" s="22"/>
      <c r="T224" s="24"/>
      <c r="U224"/>
      <c r="V224"/>
      <c r="W224"/>
      <c r="X224"/>
      <c r="Y224"/>
      <c r="Z224" s="12"/>
      <c r="AA224" s="12"/>
      <c r="AB224" s="12"/>
      <c r="AC224" s="12"/>
      <c r="AD224" s="12"/>
      <c r="AE224" s="12"/>
      <c r="AF224" s="12"/>
      <c r="AG224" s="12"/>
      <c r="AH224" s="12"/>
      <c r="AI224" s="12"/>
    </row>
    <row r="225" spans="1:35" s="10" customFormat="1" x14ac:dyDescent="0.25">
      <c r="A225" s="12"/>
      <c r="B225" s="12"/>
      <c r="C225" s="12"/>
      <c r="D225"/>
      <c r="E225" s="24"/>
      <c r="F225" s="23"/>
      <c r="G225" s="23"/>
      <c r="H225" s="23"/>
      <c r="I225" s="22"/>
      <c r="J225" s="22"/>
      <c r="K225" s="22"/>
      <c r="L225" s="22"/>
      <c r="M225" s="24"/>
      <c r="N225" s="22"/>
      <c r="O225" s="22"/>
      <c r="P225" s="22"/>
      <c r="Q225" s="23"/>
      <c r="R225" s="23"/>
      <c r="S225" s="22"/>
      <c r="T225" s="24"/>
      <c r="U225"/>
      <c r="V225"/>
      <c r="W225"/>
      <c r="X225"/>
      <c r="Y225"/>
      <c r="Z225" s="12"/>
      <c r="AA225" s="12"/>
      <c r="AB225" s="12"/>
      <c r="AC225" s="12"/>
      <c r="AD225" s="12"/>
      <c r="AE225" s="12"/>
      <c r="AF225" s="12"/>
      <c r="AG225" s="12"/>
      <c r="AH225" s="12"/>
      <c r="AI225" s="12"/>
    </row>
    <row r="226" spans="1:35" s="10" customFormat="1" x14ac:dyDescent="0.25">
      <c r="A226" s="12"/>
      <c r="B226" s="12"/>
      <c r="C226" s="12"/>
      <c r="D226"/>
      <c r="E226" s="24"/>
      <c r="F226" s="23"/>
      <c r="G226" s="23"/>
      <c r="H226" s="23"/>
      <c r="I226" s="22"/>
      <c r="J226" s="22"/>
      <c r="K226" s="22"/>
      <c r="L226" s="22"/>
      <c r="M226" s="24"/>
      <c r="N226" s="22"/>
      <c r="O226" s="22"/>
      <c r="P226" s="22"/>
      <c r="Q226" s="23"/>
      <c r="R226" s="23"/>
      <c r="S226" s="22"/>
      <c r="T226" s="24"/>
      <c r="U226"/>
      <c r="V226"/>
      <c r="W226"/>
      <c r="X226"/>
      <c r="Y226"/>
      <c r="Z226" s="12"/>
      <c r="AA226" s="12"/>
      <c r="AB226" s="12"/>
      <c r="AC226" s="12"/>
      <c r="AD226" s="12"/>
      <c r="AE226" s="12"/>
      <c r="AF226" s="12"/>
      <c r="AG226" s="12"/>
      <c r="AH226" s="12"/>
      <c r="AI226" s="12"/>
    </row>
    <row r="227" spans="1:35" s="10" customFormat="1" x14ac:dyDescent="0.25">
      <c r="A227" s="12"/>
      <c r="B227" s="12"/>
      <c r="C227" s="12"/>
      <c r="D227"/>
      <c r="E227" s="24"/>
      <c r="F227" s="23"/>
      <c r="G227" s="23"/>
      <c r="H227" s="26"/>
      <c r="I227" s="22"/>
      <c r="J227" s="22"/>
      <c r="K227" s="22"/>
      <c r="L227" s="22"/>
      <c r="M227" s="24"/>
      <c r="N227" s="22"/>
      <c r="O227" s="22"/>
      <c r="P227" s="22"/>
      <c r="Q227" s="23"/>
      <c r="R227" s="23"/>
      <c r="S227" s="22"/>
      <c r="T227" s="24"/>
      <c r="U227"/>
      <c r="V227"/>
      <c r="W227"/>
      <c r="X227"/>
      <c r="Y227"/>
      <c r="Z227" s="12"/>
      <c r="AA227" s="12"/>
      <c r="AB227" s="12"/>
      <c r="AC227" s="12"/>
      <c r="AD227" s="12"/>
      <c r="AE227" s="12"/>
      <c r="AF227" s="12"/>
      <c r="AG227" s="12"/>
      <c r="AH227" s="12"/>
      <c r="AI227" s="12"/>
    </row>
    <row r="228" spans="1:35" s="10" customFormat="1" x14ac:dyDescent="0.25">
      <c r="A228" s="12"/>
      <c r="B228" s="12"/>
      <c r="C228" s="12"/>
      <c r="D228"/>
      <c r="E228" s="24"/>
      <c r="F228" s="23"/>
      <c r="G228" s="23"/>
      <c r="H228" s="26"/>
      <c r="I228" s="22"/>
      <c r="J228" s="22"/>
      <c r="K228" s="22"/>
      <c r="L228" s="22"/>
      <c r="M228" s="24"/>
      <c r="N228" s="22"/>
      <c r="O228" s="22"/>
      <c r="P228" s="22"/>
      <c r="Q228" s="23"/>
      <c r="R228" s="23"/>
      <c r="S228" s="22"/>
      <c r="T228" s="24"/>
      <c r="U228"/>
      <c r="V228"/>
      <c r="W228"/>
      <c r="X228"/>
      <c r="Y228"/>
      <c r="Z228" s="12"/>
      <c r="AA228" s="12"/>
      <c r="AB228" s="12"/>
      <c r="AC228" s="12"/>
      <c r="AD228" s="12"/>
      <c r="AE228" s="12"/>
      <c r="AF228" s="12"/>
      <c r="AG228" s="12"/>
      <c r="AH228" s="12"/>
      <c r="AI228" s="12"/>
    </row>
    <row r="229" spans="1:35" s="10" customFormat="1" x14ac:dyDescent="0.25">
      <c r="A229" s="12"/>
      <c r="B229" s="12"/>
      <c r="C229" s="12"/>
      <c r="D229"/>
      <c r="E229" s="24"/>
      <c r="F229" s="23"/>
      <c r="G229" s="23"/>
      <c r="H229" s="26"/>
      <c r="I229" s="22"/>
      <c r="J229" s="22"/>
      <c r="K229" s="22"/>
      <c r="L229" s="22"/>
      <c r="M229" s="24"/>
      <c r="N229" s="22"/>
      <c r="O229" s="22"/>
      <c r="P229" s="22"/>
      <c r="Q229" s="23"/>
      <c r="R229" s="23"/>
      <c r="S229" s="22"/>
      <c r="T229" s="24"/>
      <c r="U229"/>
      <c r="V229"/>
      <c r="W229"/>
      <c r="X229"/>
      <c r="Y229"/>
      <c r="Z229" s="12"/>
      <c r="AA229" s="12"/>
      <c r="AB229" s="12"/>
      <c r="AC229" s="12"/>
      <c r="AD229" s="12"/>
      <c r="AE229" s="12"/>
      <c r="AF229" s="12"/>
      <c r="AG229" s="12"/>
      <c r="AH229" s="12"/>
      <c r="AI229" s="12"/>
    </row>
    <row r="230" spans="1:35" s="10" customFormat="1" x14ac:dyDescent="0.25">
      <c r="A230" s="12"/>
      <c r="B230" s="12"/>
      <c r="C230" s="12"/>
      <c r="D230"/>
      <c r="E230" s="24"/>
      <c r="F230" s="23"/>
      <c r="G230" s="23"/>
      <c r="H230" s="26"/>
      <c r="I230" s="22"/>
      <c r="J230" s="22"/>
      <c r="K230" s="22"/>
      <c r="L230" s="22"/>
      <c r="M230" s="24"/>
      <c r="N230" s="22"/>
      <c r="O230" s="22"/>
      <c r="P230" s="22"/>
      <c r="Q230" s="23"/>
      <c r="R230" s="23"/>
      <c r="S230" s="22"/>
      <c r="T230" s="24"/>
      <c r="U230"/>
      <c r="V230"/>
      <c r="W230"/>
      <c r="X230"/>
      <c r="Y230"/>
      <c r="Z230" s="12"/>
      <c r="AA230" s="12"/>
      <c r="AB230" s="12"/>
      <c r="AC230" s="12"/>
      <c r="AD230" s="12"/>
      <c r="AE230" s="12"/>
      <c r="AF230" s="12"/>
      <c r="AG230" s="12"/>
      <c r="AH230" s="12"/>
      <c r="AI230" s="12"/>
    </row>
    <row r="231" spans="1:35" s="10" customFormat="1" x14ac:dyDescent="0.25">
      <c r="A231" s="12"/>
      <c r="B231" s="12"/>
      <c r="C231" s="12"/>
      <c r="D231"/>
      <c r="E231" s="24"/>
      <c r="F231" s="23"/>
      <c r="G231" s="23"/>
      <c r="H231" s="26"/>
      <c r="I231" s="22"/>
      <c r="J231" s="22"/>
      <c r="K231" s="22"/>
      <c r="L231" s="22"/>
      <c r="M231" s="24"/>
      <c r="N231" s="22"/>
      <c r="O231" s="22"/>
      <c r="P231" s="22"/>
      <c r="Q231" s="23"/>
      <c r="R231" s="23"/>
      <c r="S231" s="22"/>
      <c r="T231" s="24"/>
      <c r="U231"/>
      <c r="V231"/>
      <c r="W231"/>
      <c r="X231"/>
      <c r="Y231"/>
      <c r="Z231" s="12"/>
      <c r="AA231" s="12"/>
      <c r="AB231" s="12"/>
      <c r="AC231" s="12"/>
      <c r="AD231" s="12"/>
      <c r="AE231" s="12"/>
      <c r="AF231" s="12"/>
      <c r="AG231" s="12"/>
      <c r="AH231" s="12"/>
      <c r="AI231" s="12"/>
    </row>
    <row r="232" spans="1:35" s="10" customFormat="1" x14ac:dyDescent="0.25">
      <c r="A232" s="12"/>
      <c r="B232" s="12"/>
      <c r="C232" s="12"/>
      <c r="D232"/>
      <c r="E232" s="24"/>
      <c r="F232" s="23"/>
      <c r="G232" s="23"/>
      <c r="H232" s="26"/>
      <c r="I232" s="22"/>
      <c r="J232" s="22"/>
      <c r="K232" s="22"/>
      <c r="L232" s="22"/>
      <c r="M232" s="24"/>
      <c r="N232" s="22"/>
      <c r="O232" s="22"/>
      <c r="P232" s="22"/>
      <c r="Q232" s="23"/>
      <c r="R232" s="23"/>
      <c r="S232" s="22"/>
      <c r="T232" s="24"/>
      <c r="U232"/>
      <c r="V232"/>
      <c r="W232"/>
      <c r="X232"/>
      <c r="Y232"/>
      <c r="Z232" s="12"/>
      <c r="AA232" s="12"/>
      <c r="AB232" s="12"/>
      <c r="AC232" s="12"/>
      <c r="AD232" s="12"/>
      <c r="AE232" s="12"/>
      <c r="AF232" s="12"/>
      <c r="AG232" s="12"/>
      <c r="AH232" s="12"/>
      <c r="AI232" s="12"/>
    </row>
    <row r="233" spans="1:35" s="10" customFormat="1" x14ac:dyDescent="0.25">
      <c r="A233" s="12"/>
      <c r="B233" s="12"/>
      <c r="C233" s="12"/>
      <c r="D233"/>
      <c r="E233" s="24"/>
      <c r="F233" s="23"/>
      <c r="G233" s="23"/>
      <c r="H233" s="26"/>
      <c r="I233" s="22"/>
      <c r="J233" s="22"/>
      <c r="K233" s="22"/>
      <c r="L233" s="22"/>
      <c r="M233" s="24"/>
      <c r="N233" s="22"/>
      <c r="O233" s="22"/>
      <c r="P233" s="22"/>
      <c r="Q233" s="23"/>
      <c r="R233" s="23"/>
      <c r="S233" s="22"/>
      <c r="T233" s="24"/>
      <c r="U233"/>
      <c r="V233"/>
      <c r="W233"/>
      <c r="X233"/>
      <c r="Y233"/>
      <c r="Z233" s="12"/>
      <c r="AA233" s="12"/>
      <c r="AB233" s="12"/>
      <c r="AC233" s="12"/>
      <c r="AD233" s="12"/>
      <c r="AE233" s="12"/>
      <c r="AF233" s="12"/>
      <c r="AG233" s="12"/>
      <c r="AH233" s="12"/>
      <c r="AI233" s="12"/>
    </row>
    <row r="234" spans="1:35" s="10" customFormat="1" x14ac:dyDescent="0.25">
      <c r="A234" s="12"/>
      <c r="B234" s="12"/>
      <c r="C234" s="12"/>
      <c r="D234"/>
      <c r="E234" s="24"/>
      <c r="F234" s="23"/>
      <c r="G234" s="23"/>
      <c r="H234" s="26"/>
      <c r="I234" s="22"/>
      <c r="J234" s="22"/>
      <c r="K234" s="22"/>
      <c r="L234" s="22"/>
      <c r="M234" s="21"/>
      <c r="N234" s="22"/>
      <c r="O234" s="22"/>
      <c r="P234" s="22"/>
      <c r="Q234" s="22"/>
      <c r="R234" s="28"/>
      <c r="S234" s="22"/>
      <c r="T234" s="20"/>
      <c r="U234"/>
      <c r="V234"/>
      <c r="W234"/>
      <c r="X234"/>
      <c r="Y234"/>
      <c r="Z234" s="12"/>
      <c r="AA234" s="12"/>
      <c r="AB234" s="12"/>
      <c r="AC234" s="12"/>
      <c r="AD234" s="12"/>
      <c r="AE234" s="12"/>
      <c r="AF234" s="12"/>
      <c r="AG234" s="12"/>
      <c r="AH234" s="12"/>
      <c r="AI234" s="12"/>
    </row>
    <row r="235" spans="1:35" s="10" customFormat="1" x14ac:dyDescent="0.25">
      <c r="A235" s="12"/>
      <c r="B235" s="12"/>
      <c r="C235" s="12"/>
      <c r="D235"/>
      <c r="E235" s="24"/>
      <c r="F235" s="23"/>
      <c r="G235" s="22"/>
      <c r="H235" s="22"/>
      <c r="I235" s="22"/>
      <c r="J235" s="22"/>
      <c r="K235" s="22"/>
      <c r="L235" s="22"/>
      <c r="M235" s="21"/>
      <c r="N235" s="22"/>
      <c r="O235" s="22"/>
      <c r="P235" s="22"/>
      <c r="Q235" s="22"/>
      <c r="R235" s="22"/>
      <c r="S235" s="22"/>
      <c r="T235" s="19"/>
      <c r="U235"/>
      <c r="V235"/>
      <c r="W235"/>
      <c r="X235"/>
      <c r="Y235"/>
      <c r="Z235" s="12"/>
      <c r="AA235" s="12"/>
      <c r="AB235" s="12"/>
      <c r="AC235" s="12"/>
      <c r="AD235" s="12"/>
      <c r="AE235" s="12"/>
      <c r="AF235" s="12"/>
      <c r="AG235" s="12"/>
      <c r="AH235" s="12"/>
      <c r="AI235" s="12"/>
    </row>
    <row r="236" spans="1:35" s="10" customFormat="1" x14ac:dyDescent="0.25">
      <c r="A236" s="12"/>
      <c r="B236" s="12"/>
      <c r="C236" s="12"/>
      <c r="D236"/>
      <c r="E236" s="24"/>
      <c r="F236" s="23"/>
      <c r="G236" s="23"/>
      <c r="H236" s="26"/>
      <c r="I236" s="22"/>
      <c r="J236" s="22"/>
      <c r="K236" s="22"/>
      <c r="L236" s="22"/>
      <c r="M236" s="24"/>
      <c r="N236" s="22"/>
      <c r="O236" s="22"/>
      <c r="P236" s="22"/>
      <c r="Q236" s="22"/>
      <c r="R236" s="28"/>
      <c r="S236" s="22"/>
      <c r="T236" s="24"/>
      <c r="U236"/>
      <c r="V236"/>
      <c r="W236"/>
      <c r="X236"/>
      <c r="Y236"/>
      <c r="Z236" s="12"/>
      <c r="AA236" s="12"/>
      <c r="AB236" s="12"/>
      <c r="AC236" s="12"/>
      <c r="AD236" s="12"/>
      <c r="AE236" s="12"/>
      <c r="AF236" s="12"/>
      <c r="AG236" s="12"/>
      <c r="AH236" s="12"/>
      <c r="AI236" s="12"/>
    </row>
    <row r="237" spans="1:35" s="10" customFormat="1" x14ac:dyDescent="0.25">
      <c r="A237" s="12"/>
      <c r="B237" s="12"/>
      <c r="C237" s="12"/>
      <c r="D237"/>
      <c r="E237" s="19"/>
      <c r="F237" s="23"/>
      <c r="G237" s="22"/>
      <c r="H237" s="22"/>
      <c r="I237" s="22"/>
      <c r="J237" s="22"/>
      <c r="K237" s="22"/>
      <c r="L237" s="23"/>
      <c r="M237" s="24"/>
      <c r="N237" s="22"/>
      <c r="O237" s="22"/>
      <c r="P237" s="22"/>
      <c r="Q237" s="22"/>
      <c r="R237" s="28"/>
      <c r="S237" s="22"/>
      <c r="T237" s="24"/>
      <c r="U237"/>
      <c r="V237"/>
      <c r="W237"/>
      <c r="X237"/>
      <c r="Y237"/>
      <c r="Z237" s="12"/>
      <c r="AA237" s="12"/>
      <c r="AB237" s="12"/>
      <c r="AC237" s="12"/>
      <c r="AD237" s="12"/>
      <c r="AE237" s="12"/>
      <c r="AF237" s="12"/>
      <c r="AG237" s="12"/>
      <c r="AH237" s="12"/>
      <c r="AI237" s="12"/>
    </row>
    <row r="238" spans="1:35" s="10" customFormat="1" x14ac:dyDescent="0.25">
      <c r="A238" s="12"/>
      <c r="B238" s="12"/>
      <c r="C238" s="12"/>
      <c r="D238"/>
      <c r="E238" s="19"/>
      <c r="F238" s="23"/>
      <c r="G238" s="22"/>
      <c r="H238" s="22"/>
      <c r="I238" s="22"/>
      <c r="J238" s="22"/>
      <c r="K238" s="22"/>
      <c r="L238" s="23"/>
      <c r="M238" s="24"/>
      <c r="N238" s="22"/>
      <c r="O238" s="22"/>
      <c r="P238" s="22"/>
      <c r="Q238" s="22"/>
      <c r="R238" s="28"/>
      <c r="S238" s="22"/>
      <c r="T238" s="24"/>
      <c r="U238"/>
      <c r="V238"/>
      <c r="W238"/>
      <c r="X238"/>
      <c r="Y238"/>
      <c r="Z238" s="12"/>
      <c r="AA238" s="12"/>
      <c r="AB238" s="12"/>
      <c r="AC238" s="12"/>
      <c r="AD238" s="12"/>
      <c r="AE238" s="12"/>
      <c r="AF238" s="12"/>
      <c r="AG238" s="12"/>
      <c r="AH238" s="12"/>
      <c r="AI238" s="12"/>
    </row>
    <row r="239" spans="1:35" s="10" customFormat="1" x14ac:dyDescent="0.25">
      <c r="A239" s="12"/>
      <c r="B239" s="12"/>
      <c r="C239" s="12"/>
      <c r="D239"/>
      <c r="E239" s="19"/>
      <c r="F239" s="23"/>
      <c r="G239" s="22"/>
      <c r="H239" s="25"/>
      <c r="I239" s="22"/>
      <c r="J239" s="22"/>
      <c r="K239" s="22"/>
      <c r="L239" s="23"/>
      <c r="M239" s="24"/>
      <c r="N239" s="22"/>
      <c r="O239" s="22"/>
      <c r="P239" s="22"/>
      <c r="Q239" s="22"/>
      <c r="R239" s="28"/>
      <c r="S239" s="22"/>
      <c r="T239" s="24"/>
      <c r="U239"/>
      <c r="V239"/>
      <c r="W239"/>
      <c r="X239"/>
      <c r="Y239"/>
      <c r="Z239" s="12"/>
      <c r="AA239" s="12"/>
      <c r="AB239" s="12"/>
      <c r="AC239" s="12"/>
      <c r="AD239" s="12"/>
      <c r="AE239" s="12"/>
      <c r="AF239" s="12"/>
      <c r="AG239" s="12"/>
      <c r="AH239" s="12"/>
      <c r="AI239" s="12"/>
    </row>
    <row r="240" spans="1:35" s="10" customFormat="1" x14ac:dyDescent="0.25">
      <c r="A240" s="12"/>
      <c r="B240" s="12"/>
      <c r="C240" s="12"/>
      <c r="D240"/>
      <c r="E240" s="19"/>
      <c r="F240" s="23"/>
      <c r="G240" s="22"/>
      <c r="H240" s="22"/>
      <c r="I240" s="22"/>
      <c r="J240" s="22"/>
      <c r="K240" s="22"/>
      <c r="L240" s="23"/>
      <c r="M240" s="24"/>
      <c r="N240" s="22"/>
      <c r="O240" s="22"/>
      <c r="P240" s="22"/>
      <c r="Q240" s="22"/>
      <c r="R240" s="28"/>
      <c r="S240" s="22"/>
      <c r="T240" s="24"/>
      <c r="U240"/>
      <c r="V240"/>
      <c r="W240"/>
      <c r="X240"/>
      <c r="Y240"/>
      <c r="Z240" s="12"/>
      <c r="AA240" s="12"/>
      <c r="AB240" s="12"/>
      <c r="AC240" s="12"/>
      <c r="AD240" s="12"/>
      <c r="AE240" s="12"/>
      <c r="AF240" s="12"/>
      <c r="AG240" s="12"/>
      <c r="AH240" s="12"/>
      <c r="AI240" s="12"/>
    </row>
    <row r="241" spans="1:35" s="10" customFormat="1" x14ac:dyDescent="0.25">
      <c r="A241" s="12"/>
      <c r="B241" s="12"/>
      <c r="C241" s="12"/>
      <c r="D241"/>
      <c r="E241" s="19"/>
      <c r="F241" s="23"/>
      <c r="G241" s="22"/>
      <c r="H241" s="22"/>
      <c r="I241" s="22"/>
      <c r="J241" s="22"/>
      <c r="K241" s="22"/>
      <c r="L241" s="23"/>
      <c r="M241" s="24"/>
      <c r="N241" s="22"/>
      <c r="O241" s="22"/>
      <c r="P241" s="22"/>
      <c r="Q241" s="22"/>
      <c r="R241" s="28"/>
      <c r="S241" s="22"/>
      <c r="T241" s="24"/>
      <c r="U241"/>
      <c r="V241"/>
      <c r="W241"/>
      <c r="X241"/>
      <c r="Y241"/>
      <c r="Z241" s="12"/>
      <c r="AA241" s="12"/>
      <c r="AB241" s="12"/>
      <c r="AC241" s="12"/>
      <c r="AD241" s="12"/>
      <c r="AE241" s="12"/>
      <c r="AF241" s="12"/>
      <c r="AG241" s="12"/>
      <c r="AH241" s="12"/>
      <c r="AI241" s="12"/>
    </row>
    <row r="242" spans="1:35" s="10" customFormat="1" x14ac:dyDescent="0.25">
      <c r="A242" s="12"/>
      <c r="B242" s="12"/>
      <c r="C242" s="12"/>
      <c r="D242"/>
      <c r="E242" s="22"/>
      <c r="F242" s="23"/>
      <c r="G242" s="22"/>
      <c r="H242" s="22"/>
      <c r="I242" s="22"/>
      <c r="J242" s="22"/>
      <c r="K242" s="22"/>
      <c r="L242" s="23"/>
      <c r="M242" s="24"/>
      <c r="N242" s="22"/>
      <c r="O242" s="22"/>
      <c r="P242" s="22"/>
      <c r="Q242" s="22"/>
      <c r="R242" s="28"/>
      <c r="S242" s="22"/>
      <c r="T242" s="24"/>
      <c r="U242"/>
      <c r="V242"/>
      <c r="W242"/>
      <c r="X242"/>
      <c r="Y242"/>
      <c r="Z242" s="12"/>
      <c r="AA242" s="12"/>
      <c r="AB242" s="12"/>
      <c r="AC242" s="12"/>
      <c r="AD242" s="12"/>
      <c r="AE242" s="12"/>
      <c r="AF242" s="12"/>
      <c r="AG242" s="12"/>
      <c r="AH242" s="12"/>
      <c r="AI242" s="12"/>
    </row>
    <row r="243" spans="1:35" s="10" customFormat="1" x14ac:dyDescent="0.25">
      <c r="A243" s="12"/>
      <c r="B243" s="12"/>
      <c r="C243" s="12"/>
      <c r="D243"/>
      <c r="E243" s="22"/>
      <c r="F243" s="23"/>
      <c r="G243" s="22"/>
      <c r="H243" s="22"/>
      <c r="I243" s="22"/>
      <c r="J243" s="22"/>
      <c r="K243" s="22"/>
      <c r="L243" s="23"/>
      <c r="M243" s="24"/>
      <c r="N243" s="22"/>
      <c r="O243" s="22"/>
      <c r="P243" s="22"/>
      <c r="Q243" s="22"/>
      <c r="R243" s="28"/>
      <c r="S243" s="22"/>
      <c r="T243" s="24"/>
      <c r="U243"/>
      <c r="V243"/>
      <c r="W243"/>
      <c r="X243"/>
      <c r="Y243"/>
      <c r="Z243" s="12"/>
      <c r="AA243" s="12"/>
      <c r="AB243" s="12"/>
      <c r="AC243" s="12"/>
      <c r="AD243" s="12"/>
      <c r="AE243" s="12"/>
      <c r="AF243" s="12"/>
      <c r="AG243" s="12"/>
      <c r="AH243" s="12"/>
      <c r="AI243" s="12"/>
    </row>
    <row r="244" spans="1:35" s="10" customFormat="1" x14ac:dyDescent="0.25">
      <c r="A244" s="12"/>
      <c r="B244" s="12"/>
      <c r="C244" s="12"/>
      <c r="D244"/>
      <c r="E244" s="22"/>
      <c r="F244" s="23"/>
      <c r="G244" s="22"/>
      <c r="H244" s="22"/>
      <c r="I244" s="22"/>
      <c r="J244" s="22"/>
      <c r="K244" s="22"/>
      <c r="L244" s="23"/>
      <c r="M244" s="24"/>
      <c r="N244" s="22"/>
      <c r="O244" s="22"/>
      <c r="P244" s="22"/>
      <c r="Q244" s="22"/>
      <c r="R244" s="28"/>
      <c r="S244" s="22"/>
      <c r="T244" s="24"/>
      <c r="U244"/>
      <c r="V244"/>
      <c r="W244"/>
      <c r="X244"/>
      <c r="Y244"/>
      <c r="Z244" s="12"/>
      <c r="AA244" s="12"/>
      <c r="AB244" s="12"/>
      <c r="AC244" s="12"/>
      <c r="AD244" s="12"/>
      <c r="AE244" s="12"/>
      <c r="AF244" s="12"/>
      <c r="AG244" s="12"/>
      <c r="AH244" s="12"/>
      <c r="AI244" s="12"/>
    </row>
    <row r="245" spans="1:35" s="10" customFormat="1" x14ac:dyDescent="0.25">
      <c r="A245" s="12"/>
      <c r="B245" s="12"/>
      <c r="C245" s="12"/>
      <c r="D245"/>
      <c r="E245" s="24"/>
      <c r="F245" s="23"/>
      <c r="G245" s="23"/>
      <c r="H245" s="23"/>
      <c r="I245" s="22"/>
      <c r="J245" s="22"/>
      <c r="K245" s="22"/>
      <c r="L245" s="22"/>
      <c r="M245" s="24"/>
      <c r="N245" s="22"/>
      <c r="O245" s="22"/>
      <c r="P245" s="22"/>
      <c r="Q245" s="22"/>
      <c r="R245" s="28"/>
      <c r="S245" s="22"/>
      <c r="T245" s="24"/>
      <c r="U245"/>
      <c r="V245"/>
      <c r="W245"/>
      <c r="X245"/>
      <c r="Y245"/>
      <c r="Z245" s="12"/>
      <c r="AA245" s="12"/>
      <c r="AB245" s="12"/>
      <c r="AC245" s="12"/>
      <c r="AD245" s="12"/>
      <c r="AE245" s="12"/>
      <c r="AF245" s="12"/>
      <c r="AG245" s="12"/>
      <c r="AH245" s="12"/>
      <c r="AI245" s="12"/>
    </row>
    <row r="246" spans="1:35" s="10" customFormat="1" x14ac:dyDescent="0.25">
      <c r="A246" s="12"/>
      <c r="B246" s="12"/>
      <c r="C246" s="12"/>
      <c r="D246"/>
      <c r="E246" s="24"/>
      <c r="F246" s="23"/>
      <c r="G246" s="23"/>
      <c r="H246" s="23"/>
      <c r="I246" s="22"/>
      <c r="J246" s="22"/>
      <c r="K246" s="22"/>
      <c r="L246" s="22"/>
      <c r="M246" s="24"/>
      <c r="N246" s="22"/>
      <c r="O246" s="22"/>
      <c r="P246" s="22"/>
      <c r="Q246" s="23"/>
      <c r="R246" s="23"/>
      <c r="S246" s="22"/>
      <c r="T246" s="24"/>
      <c r="U246"/>
      <c r="V246"/>
      <c r="W246"/>
      <c r="X246"/>
      <c r="Y246"/>
      <c r="Z246" s="12"/>
      <c r="AA246" s="12"/>
      <c r="AB246" s="12"/>
      <c r="AC246" s="12"/>
      <c r="AD246" s="12"/>
      <c r="AE246" s="12"/>
      <c r="AF246" s="12"/>
      <c r="AG246" s="12"/>
      <c r="AH246" s="12"/>
      <c r="AI246" s="12"/>
    </row>
    <row r="247" spans="1:35" s="10" customFormat="1" x14ac:dyDescent="0.25">
      <c r="A247" s="12"/>
      <c r="B247" s="12"/>
      <c r="C247" s="12"/>
      <c r="D247"/>
      <c r="E247" s="24"/>
      <c r="F247" s="23"/>
      <c r="G247" s="23"/>
      <c r="H247" s="23"/>
      <c r="I247" s="22"/>
      <c r="J247" s="22"/>
      <c r="K247" s="22"/>
      <c r="L247" s="22"/>
      <c r="M247" s="24"/>
      <c r="N247" s="22"/>
      <c r="O247" s="22"/>
      <c r="P247" s="22"/>
      <c r="Q247" s="23"/>
      <c r="R247" s="23"/>
      <c r="S247" s="22"/>
      <c r="T247" s="24"/>
      <c r="U247"/>
      <c r="V247"/>
      <c r="W247"/>
      <c r="X247"/>
      <c r="Y247"/>
      <c r="Z247" s="12"/>
      <c r="AA247" s="12"/>
      <c r="AB247" s="12"/>
      <c r="AC247" s="12"/>
      <c r="AD247" s="12"/>
      <c r="AE247" s="12"/>
      <c r="AF247" s="12"/>
      <c r="AG247" s="12"/>
      <c r="AH247" s="12"/>
      <c r="AI247" s="12"/>
    </row>
    <row r="248" spans="1:35" s="10" customFormat="1" x14ac:dyDescent="0.25">
      <c r="A248" s="12"/>
      <c r="B248" s="12"/>
      <c r="C248" s="12"/>
      <c r="D248"/>
      <c r="E248" s="24"/>
      <c r="F248" s="23"/>
      <c r="G248" s="23"/>
      <c r="H248" s="26"/>
      <c r="I248" s="22"/>
      <c r="J248" s="22"/>
      <c r="K248" s="22"/>
      <c r="L248" s="22"/>
      <c r="M248" s="24"/>
      <c r="N248" s="22"/>
      <c r="O248" s="22"/>
      <c r="P248" s="22"/>
      <c r="Q248" s="23"/>
      <c r="R248" s="23"/>
      <c r="S248" s="22"/>
      <c r="T248" s="24"/>
      <c r="U248"/>
      <c r="V248"/>
      <c r="W248"/>
      <c r="X248"/>
      <c r="Y248"/>
      <c r="Z248" s="12"/>
      <c r="AA248" s="12"/>
      <c r="AB248" s="12"/>
      <c r="AC248" s="12"/>
      <c r="AD248" s="12"/>
      <c r="AE248" s="12"/>
      <c r="AF248" s="12"/>
      <c r="AG248" s="12"/>
      <c r="AH248" s="12"/>
      <c r="AI248" s="12"/>
    </row>
    <row r="249" spans="1:35" s="10" customFormat="1" x14ac:dyDescent="0.25">
      <c r="A249" s="12"/>
      <c r="B249" s="12"/>
      <c r="C249" s="12"/>
      <c r="D249"/>
      <c r="E249" s="24"/>
      <c r="F249" s="23"/>
      <c r="G249" s="23"/>
      <c r="H249" s="26"/>
      <c r="I249" s="22"/>
      <c r="J249" s="22"/>
      <c r="K249" s="22"/>
      <c r="L249" s="22"/>
      <c r="M249" s="24"/>
      <c r="N249" s="22"/>
      <c r="O249" s="22"/>
      <c r="P249" s="22"/>
      <c r="Q249" s="23"/>
      <c r="R249" s="23"/>
      <c r="S249" s="22"/>
      <c r="T249" s="24"/>
      <c r="U249"/>
      <c r="V249"/>
      <c r="W249"/>
      <c r="X249"/>
      <c r="Y249"/>
      <c r="Z249" s="12"/>
      <c r="AA249" s="12"/>
      <c r="AB249" s="12"/>
      <c r="AC249" s="12"/>
      <c r="AD249" s="12"/>
      <c r="AE249" s="12"/>
      <c r="AF249" s="12"/>
      <c r="AG249" s="12"/>
      <c r="AH249" s="12"/>
      <c r="AI249" s="12"/>
    </row>
    <row r="250" spans="1:35" s="10" customFormat="1" x14ac:dyDescent="0.25">
      <c r="A250" s="12"/>
      <c r="B250" s="12"/>
      <c r="C250" s="12"/>
      <c r="D250"/>
      <c r="E250" s="24"/>
      <c r="F250" s="23"/>
      <c r="G250" s="23"/>
      <c r="H250" s="26"/>
      <c r="I250" s="22"/>
      <c r="J250" s="22"/>
      <c r="K250" s="22"/>
      <c r="L250" s="22"/>
      <c r="M250" s="24"/>
      <c r="N250" s="22"/>
      <c r="O250" s="22"/>
      <c r="P250" s="22"/>
      <c r="Q250" s="23"/>
      <c r="R250" s="23"/>
      <c r="S250" s="22"/>
      <c r="T250" s="24"/>
      <c r="U250"/>
      <c r="V250"/>
      <c r="W250"/>
      <c r="X250"/>
      <c r="Y250"/>
      <c r="Z250" s="12"/>
      <c r="AA250" s="12"/>
      <c r="AB250" s="12"/>
      <c r="AC250" s="12"/>
      <c r="AD250" s="12"/>
      <c r="AE250" s="12"/>
      <c r="AF250" s="12"/>
      <c r="AG250" s="12"/>
      <c r="AH250" s="12"/>
      <c r="AI250" s="12"/>
    </row>
    <row r="251" spans="1:35" s="10" customFormat="1" x14ac:dyDescent="0.25">
      <c r="A251" s="12"/>
      <c r="B251" s="12"/>
      <c r="C251" s="12"/>
      <c r="D251"/>
      <c r="E251" s="24"/>
      <c r="F251" s="23"/>
      <c r="G251" s="23"/>
      <c r="H251" s="26"/>
      <c r="I251" s="22"/>
      <c r="J251" s="22"/>
      <c r="K251" s="22"/>
      <c r="L251" s="22"/>
      <c r="M251" s="24"/>
      <c r="N251" s="22"/>
      <c r="O251" s="22"/>
      <c r="P251" s="22"/>
      <c r="Q251" s="23"/>
      <c r="R251" s="23"/>
      <c r="S251" s="22"/>
      <c r="T251" s="24"/>
      <c r="U251"/>
      <c r="V251"/>
      <c r="W251"/>
      <c r="X251"/>
      <c r="Y251"/>
      <c r="Z251" s="12"/>
      <c r="AA251" s="12"/>
      <c r="AB251" s="12"/>
      <c r="AC251" s="12"/>
      <c r="AD251" s="12"/>
      <c r="AE251" s="12"/>
      <c r="AF251" s="12"/>
      <c r="AG251" s="12"/>
      <c r="AH251" s="12"/>
      <c r="AI251" s="12"/>
    </row>
    <row r="252" spans="1:35" s="10" customFormat="1" x14ac:dyDescent="0.25">
      <c r="A252" s="12"/>
      <c r="B252" s="12"/>
      <c r="C252" s="12"/>
      <c r="D252"/>
      <c r="E252" s="24"/>
      <c r="F252" s="23"/>
      <c r="G252" s="23"/>
      <c r="H252" s="26"/>
      <c r="I252" s="22"/>
      <c r="J252" s="22"/>
      <c r="K252" s="22"/>
      <c r="L252" s="22"/>
      <c r="M252" s="24"/>
      <c r="N252" s="22"/>
      <c r="O252" s="22"/>
      <c r="P252" s="22"/>
      <c r="Q252" s="23"/>
      <c r="R252" s="23"/>
      <c r="S252" s="22"/>
      <c r="T252" s="24"/>
      <c r="U252"/>
      <c r="V252"/>
      <c r="W252"/>
      <c r="X252"/>
      <c r="Y252"/>
      <c r="Z252" s="12"/>
      <c r="AA252" s="12"/>
      <c r="AB252" s="12"/>
      <c r="AC252" s="12"/>
      <c r="AD252" s="12"/>
      <c r="AE252" s="12"/>
      <c r="AF252" s="12"/>
      <c r="AG252" s="12"/>
      <c r="AH252" s="12"/>
      <c r="AI252" s="12"/>
    </row>
    <row r="253" spans="1:35" s="10" customFormat="1" x14ac:dyDescent="0.25">
      <c r="A253" s="12"/>
      <c r="B253" s="12"/>
      <c r="C253" s="12"/>
      <c r="D253"/>
      <c r="E253" s="24"/>
      <c r="F253" s="23"/>
      <c r="G253" s="23"/>
      <c r="H253" s="26"/>
      <c r="I253" s="22"/>
      <c r="J253" s="22"/>
      <c r="K253" s="22"/>
      <c r="L253" s="22"/>
      <c r="M253" s="24"/>
      <c r="N253" s="22"/>
      <c r="O253" s="22"/>
      <c r="P253" s="22"/>
      <c r="Q253" s="23"/>
      <c r="R253" s="23"/>
      <c r="S253" s="22"/>
      <c r="T253" s="24"/>
      <c r="U253"/>
      <c r="V253"/>
      <c r="W253"/>
      <c r="X253"/>
      <c r="Y253"/>
      <c r="Z253" s="12"/>
      <c r="AA253" s="12"/>
      <c r="AB253" s="12"/>
      <c r="AC253" s="12"/>
      <c r="AD253" s="12"/>
      <c r="AE253" s="12"/>
      <c r="AF253" s="12"/>
      <c r="AG253" s="12"/>
      <c r="AH253" s="12"/>
      <c r="AI253" s="12"/>
    </row>
    <row r="254" spans="1:35" s="10" customFormat="1" x14ac:dyDescent="0.25">
      <c r="A254" s="12"/>
      <c r="B254" s="12"/>
      <c r="C254" s="12"/>
      <c r="D254"/>
      <c r="E254" s="24"/>
      <c r="F254" s="23"/>
      <c r="G254" s="23"/>
      <c r="H254" s="26"/>
      <c r="I254" s="22"/>
      <c r="J254" s="22"/>
      <c r="K254" s="22"/>
      <c r="L254" s="22"/>
      <c r="M254" s="24"/>
      <c r="N254" s="22"/>
      <c r="O254" s="22"/>
      <c r="P254" s="22"/>
      <c r="Q254" s="23"/>
      <c r="R254" s="23"/>
      <c r="S254" s="22"/>
      <c r="T254" s="24"/>
      <c r="U254"/>
      <c r="V254"/>
      <c r="W254"/>
      <c r="X254"/>
      <c r="Y254"/>
      <c r="Z254" s="12"/>
      <c r="AA254" s="12"/>
      <c r="AB254" s="12"/>
      <c r="AC254" s="12"/>
      <c r="AD254" s="12"/>
      <c r="AE254" s="12"/>
      <c r="AF254" s="12"/>
      <c r="AG254" s="12"/>
      <c r="AH254" s="12"/>
      <c r="AI254" s="12"/>
    </row>
    <row r="255" spans="1:35" s="10" customFormat="1" x14ac:dyDescent="0.25">
      <c r="A255" s="12"/>
      <c r="B255" s="12"/>
      <c r="C255" s="12"/>
      <c r="D255"/>
      <c r="E255" s="24"/>
      <c r="F255" s="23"/>
      <c r="G255" s="23"/>
      <c r="H255" s="26"/>
      <c r="I255" s="22"/>
      <c r="J255" s="22"/>
      <c r="K255" s="22"/>
      <c r="L255" s="22"/>
      <c r="M255" s="21"/>
      <c r="N255" s="22"/>
      <c r="O255" s="22"/>
      <c r="P255" s="22"/>
      <c r="Q255" s="22"/>
      <c r="R255" s="28"/>
      <c r="S255" s="22"/>
      <c r="T255" s="20"/>
      <c r="U255"/>
      <c r="V255"/>
      <c r="W255"/>
      <c r="X255"/>
      <c r="Y255"/>
      <c r="Z255" s="12"/>
      <c r="AA255" s="12"/>
      <c r="AB255" s="12"/>
      <c r="AC255" s="12"/>
      <c r="AD255" s="12"/>
      <c r="AE255" s="12"/>
      <c r="AF255" s="12"/>
      <c r="AG255" s="12"/>
      <c r="AH255" s="12"/>
      <c r="AI255" s="12"/>
    </row>
    <row r="256" spans="1:35" s="10" customFormat="1" x14ac:dyDescent="0.25">
      <c r="A256" s="12"/>
      <c r="B256" s="12"/>
      <c r="C256" s="12"/>
      <c r="D256"/>
      <c r="E256" s="24"/>
      <c r="F256" s="23"/>
      <c r="G256" s="22"/>
      <c r="H256" s="22"/>
      <c r="I256" s="22"/>
      <c r="J256" s="22"/>
      <c r="K256" s="22"/>
      <c r="L256" s="22"/>
      <c r="M256" s="21"/>
      <c r="N256" s="22"/>
      <c r="O256" s="22"/>
      <c r="P256" s="22"/>
      <c r="Q256" s="22"/>
      <c r="R256" s="22"/>
      <c r="S256" s="22"/>
      <c r="T256" s="19"/>
      <c r="U256"/>
      <c r="V256"/>
      <c r="W256"/>
      <c r="X256"/>
      <c r="Y256"/>
      <c r="Z256" s="12"/>
      <c r="AA256" s="12"/>
      <c r="AB256" s="12"/>
      <c r="AC256" s="12"/>
      <c r="AD256" s="12"/>
      <c r="AE256" s="12"/>
      <c r="AF256" s="12"/>
      <c r="AG256" s="12"/>
      <c r="AH256" s="12"/>
      <c r="AI256" s="12"/>
    </row>
    <row r="257" spans="1:35" s="10" customFormat="1" x14ac:dyDescent="0.25">
      <c r="A257" s="12"/>
      <c r="B257" s="12"/>
      <c r="C257" s="12"/>
      <c r="D257"/>
      <c r="E257" s="24"/>
      <c r="F257" s="23"/>
      <c r="G257" s="23"/>
      <c r="H257" s="26"/>
      <c r="I257" s="22"/>
      <c r="J257" s="22"/>
      <c r="K257" s="22"/>
      <c r="L257" s="22"/>
      <c r="M257" s="24"/>
      <c r="N257" s="22"/>
      <c r="O257" s="22"/>
      <c r="P257" s="22"/>
      <c r="Q257" s="22"/>
      <c r="R257" s="28"/>
      <c r="S257" s="22"/>
      <c r="T257" s="24"/>
      <c r="U257"/>
      <c r="V257"/>
      <c r="W257"/>
      <c r="X257"/>
      <c r="Y257"/>
      <c r="Z257" s="12"/>
      <c r="AA257" s="12"/>
      <c r="AB257" s="12"/>
      <c r="AC257" s="12"/>
      <c r="AD257" s="12"/>
      <c r="AE257" s="12"/>
      <c r="AF257" s="12"/>
      <c r="AG257" s="12"/>
      <c r="AH257" s="12"/>
      <c r="AI257" s="12"/>
    </row>
    <row r="258" spans="1:35" s="10" customFormat="1" x14ac:dyDescent="0.25">
      <c r="A258" s="12"/>
      <c r="B258" s="12"/>
      <c r="C258" s="12"/>
      <c r="D258"/>
      <c r="E258" s="19"/>
      <c r="F258" s="23"/>
      <c r="G258" s="22"/>
      <c r="H258" s="22"/>
      <c r="I258" s="22"/>
      <c r="J258" s="22"/>
      <c r="K258" s="22"/>
      <c r="L258" s="23"/>
      <c r="M258" s="24"/>
      <c r="N258" s="22"/>
      <c r="O258" s="22"/>
      <c r="P258" s="22"/>
      <c r="Q258" s="22"/>
      <c r="R258" s="28"/>
      <c r="S258" s="22"/>
      <c r="T258" s="24"/>
      <c r="U258"/>
      <c r="V258"/>
      <c r="W258"/>
      <c r="X258"/>
      <c r="Y258"/>
      <c r="Z258" s="12"/>
      <c r="AA258" s="12"/>
      <c r="AB258" s="12"/>
      <c r="AC258" s="12"/>
      <c r="AD258" s="12"/>
      <c r="AE258" s="12"/>
      <c r="AF258" s="12"/>
      <c r="AG258" s="12"/>
      <c r="AH258" s="12"/>
      <c r="AI258" s="12"/>
    </row>
    <row r="259" spans="1:35" s="10" customFormat="1" x14ac:dyDescent="0.25">
      <c r="A259" s="12"/>
      <c r="B259" s="12"/>
      <c r="C259" s="12"/>
      <c r="D259"/>
      <c r="E259" s="19"/>
      <c r="F259" s="23"/>
      <c r="G259" s="22"/>
      <c r="H259" s="22"/>
      <c r="I259" s="22"/>
      <c r="J259" s="22"/>
      <c r="K259" s="22"/>
      <c r="L259" s="23"/>
      <c r="M259" s="24"/>
      <c r="N259" s="22"/>
      <c r="O259" s="22"/>
      <c r="P259" s="22"/>
      <c r="Q259" s="22"/>
      <c r="R259" s="28"/>
      <c r="S259" s="22"/>
      <c r="T259" s="24"/>
      <c r="U259"/>
      <c r="V259"/>
      <c r="W259"/>
      <c r="X259"/>
      <c r="Y259"/>
      <c r="Z259" s="12"/>
      <c r="AA259" s="12"/>
      <c r="AB259" s="12"/>
      <c r="AC259" s="12"/>
      <c r="AD259" s="12"/>
      <c r="AE259" s="12"/>
      <c r="AF259" s="12"/>
      <c r="AG259" s="12"/>
      <c r="AH259" s="12"/>
      <c r="AI259" s="12"/>
    </row>
    <row r="260" spans="1:35" s="10" customFormat="1" x14ac:dyDescent="0.25">
      <c r="A260" s="12"/>
      <c r="B260" s="12"/>
      <c r="C260" s="12"/>
      <c r="D260"/>
      <c r="E260" s="19"/>
      <c r="F260" s="23"/>
      <c r="G260" s="22"/>
      <c r="H260" s="25"/>
      <c r="I260" s="22"/>
      <c r="J260" s="22"/>
      <c r="K260" s="22"/>
      <c r="L260" s="23"/>
      <c r="M260" s="24"/>
      <c r="N260" s="22"/>
      <c r="O260" s="22"/>
      <c r="P260" s="22"/>
      <c r="Q260" s="22"/>
      <c r="R260" s="28"/>
      <c r="S260" s="22"/>
      <c r="T260" s="24"/>
      <c r="U260"/>
      <c r="V260"/>
      <c r="W260"/>
      <c r="X260"/>
      <c r="Y260"/>
      <c r="Z260" s="12"/>
      <c r="AA260" s="12"/>
      <c r="AB260" s="12"/>
      <c r="AC260" s="12"/>
      <c r="AD260" s="12"/>
      <c r="AE260" s="12"/>
      <c r="AF260" s="12"/>
      <c r="AG260" s="12"/>
      <c r="AH260" s="12"/>
      <c r="AI260" s="12"/>
    </row>
    <row r="261" spans="1:35" s="10" customFormat="1" x14ac:dyDescent="0.25">
      <c r="A261" s="12"/>
      <c r="B261" s="12"/>
      <c r="C261" s="12"/>
      <c r="D261"/>
      <c r="E261" s="19"/>
      <c r="F261" s="23"/>
      <c r="G261" s="22"/>
      <c r="H261" s="22"/>
      <c r="I261" s="22"/>
      <c r="J261" s="22"/>
      <c r="K261" s="22"/>
      <c r="L261" s="23"/>
      <c r="M261" s="24"/>
      <c r="N261" s="22"/>
      <c r="O261" s="22"/>
      <c r="P261" s="22"/>
      <c r="Q261" s="22"/>
      <c r="R261" s="28"/>
      <c r="S261" s="22"/>
      <c r="T261" s="24"/>
      <c r="U261"/>
      <c r="V261"/>
      <c r="W261"/>
      <c r="X261"/>
      <c r="Y261"/>
      <c r="Z261" s="12"/>
      <c r="AA261" s="12"/>
      <c r="AB261" s="12"/>
      <c r="AC261" s="12"/>
      <c r="AD261" s="12"/>
      <c r="AE261" s="12"/>
      <c r="AF261" s="12"/>
      <c r="AG261" s="12"/>
      <c r="AH261" s="12"/>
      <c r="AI261" s="12"/>
    </row>
    <row r="262" spans="1:35" s="10" customFormat="1" x14ac:dyDescent="0.25">
      <c r="A262" s="12"/>
      <c r="B262" s="12"/>
      <c r="C262" s="12"/>
      <c r="D262"/>
      <c r="E262" s="19"/>
      <c r="F262" s="23"/>
      <c r="G262" s="22"/>
      <c r="H262" s="22"/>
      <c r="I262" s="22"/>
      <c r="J262" s="22"/>
      <c r="K262" s="22"/>
      <c r="L262" s="23"/>
      <c r="M262" s="24"/>
      <c r="N262" s="22"/>
      <c r="O262" s="22"/>
      <c r="P262" s="22"/>
      <c r="Q262" s="22"/>
      <c r="R262" s="28"/>
      <c r="S262" s="22"/>
      <c r="T262" s="24"/>
      <c r="U262"/>
      <c r="V262"/>
      <c r="W262"/>
      <c r="X262"/>
      <c r="Y262"/>
      <c r="Z262" s="12"/>
      <c r="AA262" s="12"/>
      <c r="AB262" s="12"/>
      <c r="AC262" s="12"/>
      <c r="AD262" s="12"/>
      <c r="AE262" s="12"/>
      <c r="AF262" s="12"/>
      <c r="AG262" s="12"/>
      <c r="AH262" s="12"/>
      <c r="AI262" s="12"/>
    </row>
    <row r="263" spans="1:35" s="10" customFormat="1" x14ac:dyDescent="0.25">
      <c r="A263" s="12"/>
      <c r="B263" s="12"/>
      <c r="C263" s="12"/>
      <c r="D263"/>
      <c r="E263" s="22"/>
      <c r="F263" s="23"/>
      <c r="G263" s="22"/>
      <c r="H263" s="22"/>
      <c r="I263" s="22"/>
      <c r="J263" s="22"/>
      <c r="K263" s="22"/>
      <c r="L263" s="23"/>
      <c r="M263" s="24"/>
      <c r="N263" s="22"/>
      <c r="O263" s="22"/>
      <c r="P263" s="22"/>
      <c r="Q263" s="22"/>
      <c r="R263" s="28"/>
      <c r="S263" s="22"/>
      <c r="T263" s="24"/>
      <c r="U263"/>
      <c r="V263"/>
      <c r="W263"/>
      <c r="X263"/>
      <c r="Y263"/>
      <c r="Z263" s="12"/>
      <c r="AA263" s="12"/>
      <c r="AB263" s="12"/>
      <c r="AC263" s="12"/>
      <c r="AD263" s="12"/>
      <c r="AE263" s="12"/>
      <c r="AF263" s="12"/>
      <c r="AG263" s="12"/>
      <c r="AH263" s="12"/>
      <c r="AI263" s="12"/>
    </row>
    <row r="264" spans="1:35" s="10" customFormat="1" x14ac:dyDescent="0.25">
      <c r="A264" s="12"/>
      <c r="B264" s="12"/>
      <c r="C264" s="12"/>
      <c r="D264"/>
      <c r="E264" s="22"/>
      <c r="F264" s="23"/>
      <c r="G264" s="22"/>
      <c r="H264" s="22"/>
      <c r="I264" s="22"/>
      <c r="J264" s="22"/>
      <c r="K264" s="22"/>
      <c r="L264" s="23"/>
      <c r="M264" s="24"/>
      <c r="N264" s="22"/>
      <c r="O264" s="22"/>
      <c r="P264" s="22"/>
      <c r="Q264" s="22"/>
      <c r="R264" s="28"/>
      <c r="S264" s="22"/>
      <c r="T264" s="24"/>
      <c r="U264"/>
      <c r="V264"/>
      <c r="W264"/>
      <c r="X264"/>
      <c r="Y264"/>
      <c r="Z264" s="12"/>
      <c r="AA264" s="12"/>
      <c r="AB264" s="12"/>
      <c r="AC264" s="12"/>
      <c r="AD264" s="12"/>
      <c r="AE264" s="12"/>
      <c r="AF264" s="12"/>
      <c r="AG264" s="12"/>
      <c r="AH264" s="12"/>
      <c r="AI264" s="12"/>
    </row>
    <row r="265" spans="1:35" s="10" customFormat="1" x14ac:dyDescent="0.25">
      <c r="A265" s="12"/>
      <c r="B265" s="12"/>
      <c r="C265" s="12"/>
      <c r="D265"/>
      <c r="E265" s="22"/>
      <c r="F265" s="23"/>
      <c r="G265" s="22"/>
      <c r="H265" s="22"/>
      <c r="I265" s="22"/>
      <c r="J265" s="22"/>
      <c r="K265" s="22"/>
      <c r="L265" s="23"/>
      <c r="M265" s="24"/>
      <c r="N265" s="22"/>
      <c r="O265" s="22"/>
      <c r="P265" s="22"/>
      <c r="Q265" s="22"/>
      <c r="R265" s="28"/>
      <c r="S265" s="22"/>
      <c r="T265" s="24"/>
      <c r="U265"/>
      <c r="V265"/>
      <c r="W265"/>
      <c r="X265"/>
      <c r="Y265"/>
      <c r="Z265" s="12"/>
      <c r="AA265" s="12"/>
      <c r="AB265" s="12"/>
      <c r="AC265" s="12"/>
      <c r="AD265" s="12"/>
      <c r="AE265" s="12"/>
      <c r="AF265" s="12"/>
      <c r="AG265" s="12"/>
      <c r="AH265" s="12"/>
      <c r="AI265" s="12"/>
    </row>
    <row r="266" spans="1:35" s="10" customFormat="1" x14ac:dyDescent="0.25">
      <c r="A266" s="12"/>
      <c r="B266" s="12"/>
      <c r="C266" s="12"/>
      <c r="D266"/>
      <c r="E266" s="24"/>
      <c r="F266" s="23"/>
      <c r="G266" s="23"/>
      <c r="H266" s="23"/>
      <c r="I266" s="22"/>
      <c r="J266" s="22"/>
      <c r="K266" s="22"/>
      <c r="L266" s="22"/>
      <c r="M266" s="24"/>
      <c r="N266" s="22"/>
      <c r="O266" s="22"/>
      <c r="P266" s="22"/>
      <c r="Q266" s="22"/>
      <c r="R266" s="28"/>
      <c r="S266" s="22"/>
      <c r="T266" s="24"/>
      <c r="U266"/>
      <c r="V266"/>
      <c r="W266"/>
      <c r="X266"/>
      <c r="Y266"/>
      <c r="Z266" s="12"/>
      <c r="AA266" s="12"/>
      <c r="AB266" s="12"/>
      <c r="AC266" s="12"/>
      <c r="AD266" s="12"/>
      <c r="AE266" s="12"/>
      <c r="AF266" s="12"/>
      <c r="AG266" s="12"/>
      <c r="AH266" s="12"/>
      <c r="AI266" s="12"/>
    </row>
    <row r="267" spans="1:35" s="10" customFormat="1" x14ac:dyDescent="0.25">
      <c r="A267" s="12"/>
      <c r="B267" s="12"/>
      <c r="C267" s="12"/>
      <c r="D267"/>
      <c r="E267" s="24"/>
      <c r="F267" s="23"/>
      <c r="G267" s="23"/>
      <c r="H267" s="23"/>
      <c r="I267" s="22"/>
      <c r="J267" s="22"/>
      <c r="K267" s="22"/>
      <c r="L267" s="22"/>
      <c r="M267" s="24"/>
      <c r="N267" s="22"/>
      <c r="O267" s="22"/>
      <c r="P267" s="22"/>
      <c r="Q267" s="23"/>
      <c r="R267" s="23"/>
      <c r="S267" s="22"/>
      <c r="T267" s="24"/>
      <c r="U267"/>
      <c r="V267"/>
      <c r="W267"/>
      <c r="X267"/>
      <c r="Y267"/>
      <c r="Z267" s="12"/>
      <c r="AA267" s="12"/>
      <c r="AB267" s="12"/>
      <c r="AC267" s="12"/>
      <c r="AD267" s="12"/>
      <c r="AE267" s="12"/>
      <c r="AF267" s="12"/>
      <c r="AG267" s="12"/>
      <c r="AH267" s="12"/>
      <c r="AI267" s="12"/>
    </row>
    <row r="268" spans="1:35" s="10" customFormat="1" x14ac:dyDescent="0.25">
      <c r="A268" s="12"/>
      <c r="B268" s="12"/>
      <c r="C268" s="12"/>
      <c r="D268"/>
      <c r="E268" s="24"/>
      <c r="F268" s="23"/>
      <c r="G268" s="23"/>
      <c r="H268" s="23"/>
      <c r="I268" s="22"/>
      <c r="J268" s="22"/>
      <c r="K268" s="22"/>
      <c r="L268" s="22"/>
      <c r="M268" s="24"/>
      <c r="N268" s="22"/>
      <c r="O268" s="22"/>
      <c r="P268" s="22"/>
      <c r="Q268" s="23"/>
      <c r="R268" s="23"/>
      <c r="S268" s="22"/>
      <c r="T268" s="24"/>
      <c r="U268"/>
      <c r="V268"/>
      <c r="W268"/>
      <c r="X268"/>
      <c r="Y268"/>
      <c r="Z268" s="12"/>
      <c r="AA268" s="12"/>
      <c r="AB268" s="12"/>
      <c r="AC268" s="12"/>
      <c r="AD268" s="12"/>
      <c r="AE268" s="12"/>
      <c r="AF268" s="12"/>
      <c r="AG268" s="12"/>
      <c r="AH268" s="12"/>
      <c r="AI268" s="12"/>
    </row>
    <row r="269" spans="1:35" s="10" customFormat="1" x14ac:dyDescent="0.25">
      <c r="A269" s="12"/>
      <c r="B269" s="12"/>
      <c r="C269" s="12"/>
      <c r="D269"/>
      <c r="E269" s="24"/>
      <c r="F269" s="23"/>
      <c r="G269" s="23"/>
      <c r="H269" s="26"/>
      <c r="I269" s="22"/>
      <c r="J269" s="22"/>
      <c r="K269" s="22"/>
      <c r="L269" s="22"/>
      <c r="M269" s="24"/>
      <c r="N269" s="22"/>
      <c r="O269" s="22"/>
      <c r="P269" s="22"/>
      <c r="Q269" s="23"/>
      <c r="R269" s="23"/>
      <c r="S269" s="22"/>
      <c r="T269" s="24"/>
      <c r="U269"/>
      <c r="V269"/>
      <c r="W269"/>
      <c r="X269"/>
      <c r="Y269"/>
      <c r="Z269" s="12"/>
      <c r="AA269" s="12"/>
      <c r="AB269" s="12"/>
      <c r="AC269" s="12"/>
      <c r="AD269" s="12"/>
      <c r="AE269" s="12"/>
      <c r="AF269" s="12"/>
      <c r="AG269" s="12"/>
      <c r="AH269" s="12"/>
      <c r="AI269" s="12"/>
    </row>
    <row r="270" spans="1:35" s="10" customFormat="1" x14ac:dyDescent="0.25">
      <c r="A270" s="12"/>
      <c r="B270" s="12"/>
      <c r="C270" s="12"/>
      <c r="D270"/>
      <c r="E270" s="24"/>
      <c r="F270" s="23"/>
      <c r="G270" s="23"/>
      <c r="H270" s="26"/>
      <c r="I270" s="22"/>
      <c r="J270" s="22"/>
      <c r="K270" s="22"/>
      <c r="L270" s="22"/>
      <c r="M270" s="24"/>
      <c r="N270" s="22"/>
      <c r="O270" s="22"/>
      <c r="P270" s="22"/>
      <c r="Q270" s="23"/>
      <c r="R270" s="23"/>
      <c r="S270" s="22"/>
      <c r="T270" s="24"/>
      <c r="U270"/>
      <c r="V270"/>
      <c r="W270"/>
      <c r="X270"/>
      <c r="Y270"/>
      <c r="Z270" s="12"/>
      <c r="AA270" s="12"/>
      <c r="AB270" s="12"/>
      <c r="AC270" s="12"/>
      <c r="AD270" s="12"/>
      <c r="AE270" s="12"/>
      <c r="AF270" s="12"/>
      <c r="AG270" s="12"/>
      <c r="AH270" s="12"/>
      <c r="AI270" s="12"/>
    </row>
    <row r="271" spans="1:35" s="10" customFormat="1" x14ac:dyDescent="0.25">
      <c r="A271" s="12"/>
      <c r="B271" s="12"/>
      <c r="C271" s="12"/>
      <c r="D271"/>
      <c r="E271" s="24"/>
      <c r="F271" s="23"/>
      <c r="G271" s="23"/>
      <c r="H271" s="26"/>
      <c r="I271" s="22"/>
      <c r="J271" s="22"/>
      <c r="K271" s="22"/>
      <c r="L271" s="22"/>
      <c r="M271" s="24"/>
      <c r="N271" s="22"/>
      <c r="O271" s="22"/>
      <c r="P271" s="22"/>
      <c r="Q271" s="23"/>
      <c r="R271" s="23"/>
      <c r="S271" s="22"/>
      <c r="T271" s="24"/>
      <c r="U271"/>
      <c r="V271"/>
      <c r="W271"/>
      <c r="X271"/>
      <c r="Y271"/>
      <c r="Z271" s="12"/>
      <c r="AA271" s="12"/>
      <c r="AB271" s="12"/>
      <c r="AC271" s="12"/>
      <c r="AD271" s="12"/>
      <c r="AE271" s="12"/>
      <c r="AF271" s="12"/>
      <c r="AG271" s="12"/>
      <c r="AH271" s="12"/>
      <c r="AI271" s="12"/>
    </row>
    <row r="272" spans="1:35" s="10" customFormat="1" x14ac:dyDescent="0.25">
      <c r="A272" s="12"/>
      <c r="B272" s="12"/>
      <c r="C272" s="12"/>
      <c r="D272"/>
      <c r="E272" s="24"/>
      <c r="F272" s="23"/>
      <c r="G272" s="23"/>
      <c r="H272" s="26"/>
      <c r="I272" s="22"/>
      <c r="J272" s="22"/>
      <c r="K272" s="22"/>
      <c r="L272" s="22"/>
      <c r="M272" s="24"/>
      <c r="N272" s="22"/>
      <c r="O272" s="22"/>
      <c r="P272" s="22"/>
      <c r="Q272" s="23"/>
      <c r="R272" s="23"/>
      <c r="S272" s="22"/>
      <c r="T272" s="24"/>
      <c r="U272"/>
      <c r="V272"/>
      <c r="W272"/>
      <c r="X272"/>
      <c r="Y272"/>
      <c r="Z272" s="12"/>
      <c r="AA272" s="12"/>
      <c r="AB272" s="12"/>
      <c r="AC272" s="12"/>
      <c r="AD272" s="12"/>
      <c r="AE272" s="12"/>
      <c r="AF272" s="12"/>
      <c r="AG272" s="12"/>
      <c r="AH272" s="12"/>
      <c r="AI272" s="12"/>
    </row>
    <row r="273" spans="1:35" s="10" customFormat="1" x14ac:dyDescent="0.25">
      <c r="A273" s="12"/>
      <c r="B273" s="12"/>
      <c r="C273" s="12"/>
      <c r="D273"/>
      <c r="E273" s="24"/>
      <c r="F273" s="23"/>
      <c r="G273" s="23"/>
      <c r="H273" s="26"/>
      <c r="I273" s="22"/>
      <c r="J273" s="22"/>
      <c r="K273" s="22"/>
      <c r="L273" s="22"/>
      <c r="M273" s="24"/>
      <c r="N273" s="22"/>
      <c r="O273" s="22"/>
      <c r="P273" s="22"/>
      <c r="Q273" s="23"/>
      <c r="R273" s="23"/>
      <c r="S273" s="22"/>
      <c r="T273" s="24"/>
      <c r="U273"/>
      <c r="V273"/>
      <c r="W273"/>
      <c r="X273"/>
      <c r="Y273"/>
      <c r="Z273" s="12"/>
      <c r="AA273" s="12"/>
      <c r="AB273" s="12"/>
      <c r="AC273" s="12"/>
      <c r="AD273" s="12"/>
      <c r="AE273" s="12"/>
      <c r="AF273" s="12"/>
      <c r="AG273" s="12"/>
      <c r="AH273" s="12"/>
      <c r="AI273" s="12"/>
    </row>
    <row r="274" spans="1:35" s="10" customFormat="1" x14ac:dyDescent="0.25">
      <c r="A274" s="12"/>
      <c r="B274" s="12"/>
      <c r="C274" s="12"/>
      <c r="D274"/>
      <c r="E274" s="24"/>
      <c r="F274" s="23"/>
      <c r="G274" s="23"/>
      <c r="H274" s="26"/>
      <c r="I274" s="22"/>
      <c r="J274" s="22"/>
      <c r="K274" s="22"/>
      <c r="L274" s="22"/>
      <c r="M274" s="24"/>
      <c r="N274" s="22"/>
      <c r="O274" s="22"/>
      <c r="P274" s="22"/>
      <c r="Q274" s="23"/>
      <c r="R274" s="23"/>
      <c r="S274" s="22"/>
      <c r="T274" s="24"/>
      <c r="U274"/>
      <c r="V274"/>
      <c r="W274"/>
      <c r="X274"/>
      <c r="Y274"/>
      <c r="Z274" s="12"/>
      <c r="AA274" s="12"/>
      <c r="AB274" s="12"/>
      <c r="AC274" s="12"/>
      <c r="AD274" s="12"/>
      <c r="AE274" s="12"/>
      <c r="AF274" s="12"/>
      <c r="AG274" s="12"/>
      <c r="AH274" s="12"/>
      <c r="AI274" s="12"/>
    </row>
    <row r="275" spans="1:35" s="10" customFormat="1" x14ac:dyDescent="0.25">
      <c r="A275" s="12"/>
      <c r="B275" s="12"/>
      <c r="C275" s="12"/>
      <c r="D275"/>
      <c r="E275" s="24"/>
      <c r="F275" s="23"/>
      <c r="G275" s="23"/>
      <c r="H275" s="26"/>
      <c r="I275" s="22"/>
      <c r="J275" s="22"/>
      <c r="K275" s="22"/>
      <c r="L275" s="22"/>
      <c r="M275" s="24"/>
      <c r="N275" s="22"/>
      <c r="O275" s="22"/>
      <c r="P275" s="22"/>
      <c r="Q275" s="23"/>
      <c r="R275" s="23"/>
      <c r="S275" s="22"/>
      <c r="T275" s="24"/>
      <c r="U275"/>
      <c r="V275"/>
      <c r="W275"/>
      <c r="X275"/>
      <c r="Y275"/>
      <c r="Z275" s="12"/>
      <c r="AA275" s="12"/>
      <c r="AB275" s="12"/>
      <c r="AC275" s="12"/>
      <c r="AD275" s="12"/>
      <c r="AE275" s="12"/>
      <c r="AF275" s="12"/>
      <c r="AG275" s="12"/>
      <c r="AH275" s="12"/>
      <c r="AI275" s="12"/>
    </row>
    <row r="276" spans="1:35" s="10" customFormat="1" x14ac:dyDescent="0.25">
      <c r="A276" s="12"/>
      <c r="B276" s="12"/>
      <c r="C276" s="12"/>
      <c r="D276"/>
      <c r="E276" s="24"/>
      <c r="F276" s="23"/>
      <c r="G276" s="23"/>
      <c r="H276" s="26"/>
      <c r="I276" s="22"/>
      <c r="J276" s="22"/>
      <c r="K276" s="22"/>
      <c r="L276" s="22"/>
      <c r="M276" s="21"/>
      <c r="N276" s="22"/>
      <c r="O276" s="22"/>
      <c r="P276" s="22"/>
      <c r="Q276" s="22"/>
      <c r="R276" s="28"/>
      <c r="S276" s="22"/>
      <c r="T276" s="20"/>
      <c r="U276"/>
      <c r="V276"/>
      <c r="W276"/>
      <c r="X276"/>
      <c r="Y276"/>
      <c r="Z276" s="12"/>
      <c r="AA276" s="12"/>
      <c r="AB276" s="12"/>
      <c r="AC276" s="12"/>
      <c r="AD276" s="12"/>
      <c r="AE276" s="12"/>
      <c r="AF276" s="12"/>
      <c r="AG276" s="12"/>
      <c r="AH276" s="12"/>
      <c r="AI276" s="12"/>
    </row>
    <row r="277" spans="1:35" s="10" customFormat="1" x14ac:dyDescent="0.25">
      <c r="A277" s="12"/>
      <c r="B277" s="12"/>
      <c r="C277" s="12"/>
      <c r="D277"/>
      <c r="E277"/>
      <c r="F277"/>
      <c r="G277"/>
      <c r="H277"/>
      <c r="I277"/>
      <c r="J277"/>
      <c r="K277"/>
      <c r="L277"/>
      <c r="M277"/>
      <c r="N277"/>
      <c r="O277"/>
      <c r="P277"/>
      <c r="Q277"/>
      <c r="R277"/>
      <c r="S277"/>
      <c r="T277"/>
      <c r="U277"/>
      <c r="V277"/>
      <c r="W277"/>
      <c r="X277"/>
      <c r="Y277"/>
      <c r="Z277" s="12"/>
      <c r="AA277" s="12"/>
      <c r="AB277" s="12"/>
      <c r="AC277" s="12"/>
      <c r="AD277" s="12"/>
      <c r="AE277" s="12"/>
      <c r="AF277" s="12"/>
      <c r="AG277" s="12"/>
      <c r="AH277" s="12"/>
      <c r="AI277" s="12"/>
    </row>
    <row r="278" spans="1:35" s="10" customFormat="1" x14ac:dyDescent="0.25">
      <c r="A278" s="12"/>
      <c r="B278" s="12"/>
      <c r="C278" s="12"/>
      <c r="D278"/>
      <c r="E278"/>
      <c r="F278"/>
      <c r="G278"/>
      <c r="H278"/>
      <c r="I278"/>
      <c r="J278"/>
      <c r="K278"/>
      <c r="L278"/>
      <c r="M278"/>
      <c r="N278"/>
      <c r="O278"/>
      <c r="P278"/>
      <c r="Q278"/>
      <c r="R278"/>
      <c r="S278"/>
      <c r="T278"/>
      <c r="U278"/>
      <c r="V278"/>
      <c r="W278"/>
      <c r="X278"/>
      <c r="Y278" s="12"/>
      <c r="Z278" s="12"/>
      <c r="AA278" s="12"/>
      <c r="AB278" s="12"/>
      <c r="AC278" s="12"/>
      <c r="AD278" s="12"/>
      <c r="AE278" s="12"/>
      <c r="AF278" s="12"/>
      <c r="AG278" s="12"/>
      <c r="AH278" s="12"/>
      <c r="AI278" s="12"/>
    </row>
    <row r="279" spans="1:35" s="10" customFormat="1" x14ac:dyDescent="0.25">
      <c r="A279" s="12"/>
      <c r="B279" s="12"/>
      <c r="C279" s="12"/>
      <c r="D279"/>
      <c r="E279"/>
      <c r="F279"/>
      <c r="G279"/>
      <c r="H279"/>
      <c r="I279"/>
      <c r="J279"/>
      <c r="K279"/>
      <c r="L279"/>
      <c r="M279"/>
      <c r="N279"/>
      <c r="O279"/>
      <c r="P279"/>
      <c r="Q279"/>
      <c r="R279"/>
      <c r="S279"/>
      <c r="T279"/>
      <c r="U279"/>
      <c r="V279"/>
      <c r="W279"/>
      <c r="X279"/>
      <c r="Y279" s="12"/>
      <c r="Z279" s="12"/>
      <c r="AA279" s="12"/>
      <c r="AB279" s="12"/>
      <c r="AC279" s="12"/>
      <c r="AD279" s="12"/>
      <c r="AE279" s="12"/>
      <c r="AF279" s="12"/>
      <c r="AG279" s="12"/>
      <c r="AH279" s="12"/>
      <c r="AI279" s="12"/>
    </row>
    <row r="280" spans="1:35" s="10" customFormat="1" x14ac:dyDescent="0.25">
      <c r="A280" s="12"/>
      <c r="B280" s="12"/>
      <c r="C280" s="12"/>
      <c r="D280"/>
      <c r="E280"/>
      <c r="F280"/>
      <c r="G280"/>
      <c r="H280"/>
      <c r="I280"/>
      <c r="J280"/>
      <c r="K280"/>
      <c r="L280"/>
      <c r="M280"/>
      <c r="N280"/>
      <c r="O280"/>
      <c r="P280"/>
      <c r="Q280"/>
      <c r="R280"/>
      <c r="S280"/>
      <c r="T280"/>
      <c r="U280"/>
      <c r="V280"/>
      <c r="W280"/>
      <c r="X280"/>
      <c r="Y280" s="12"/>
      <c r="Z280" s="12"/>
      <c r="AA280" s="12"/>
      <c r="AB280" s="12"/>
      <c r="AC280" s="12"/>
      <c r="AD280" s="12"/>
      <c r="AE280" s="12"/>
      <c r="AF280" s="12"/>
      <c r="AG280" s="12"/>
      <c r="AH280" s="12"/>
      <c r="AI280" s="12"/>
    </row>
    <row r="281" spans="1:35" s="10" customFormat="1" x14ac:dyDescent="0.25">
      <c r="A281" s="12"/>
      <c r="B281" s="12"/>
      <c r="C281" s="12"/>
      <c r="D281"/>
      <c r="E281"/>
      <c r="F281"/>
      <c r="G281"/>
      <c r="H281"/>
      <c r="I281"/>
      <c r="J281"/>
      <c r="K281"/>
      <c r="L281"/>
      <c r="M281"/>
      <c r="N281"/>
      <c r="O281"/>
      <c r="P281"/>
      <c r="Q281"/>
      <c r="R281"/>
      <c r="S281"/>
      <c r="T281"/>
      <c r="U281"/>
      <c r="V281"/>
      <c r="W281"/>
      <c r="X281"/>
      <c r="Y281" s="12"/>
      <c r="Z281" s="12"/>
      <c r="AA281" s="12"/>
      <c r="AB281" s="12"/>
      <c r="AC281" s="12"/>
      <c r="AD281" s="12"/>
      <c r="AE281" s="12"/>
      <c r="AF281" s="12"/>
      <c r="AG281" s="12"/>
      <c r="AH281" s="12"/>
      <c r="AI281" s="12"/>
    </row>
    <row r="282" spans="1:35" s="10" customFormat="1" x14ac:dyDescent="0.25">
      <c r="A282" s="12"/>
      <c r="B282" s="12"/>
      <c r="C282" s="12"/>
      <c r="D282"/>
      <c r="E282"/>
      <c r="F282"/>
      <c r="G282"/>
      <c r="H282"/>
      <c r="I282"/>
      <c r="J282"/>
      <c r="K282"/>
      <c r="L282"/>
      <c r="M282"/>
      <c r="N282"/>
      <c r="O282"/>
      <c r="P282"/>
      <c r="Q282"/>
      <c r="R282"/>
      <c r="S282"/>
      <c r="T282"/>
      <c r="U282"/>
      <c r="V282"/>
      <c r="W282"/>
      <c r="X282"/>
      <c r="Y282" s="12"/>
      <c r="Z282" s="12"/>
      <c r="AA282" s="12"/>
      <c r="AB282" s="12"/>
      <c r="AC282" s="12"/>
      <c r="AD282" s="12"/>
      <c r="AE282" s="12"/>
      <c r="AF282" s="12"/>
      <c r="AG282" s="12"/>
      <c r="AH282" s="12"/>
      <c r="AI282" s="12"/>
    </row>
    <row r="283" spans="1:35" s="10" customFormat="1" x14ac:dyDescent="0.25">
      <c r="A283" s="12"/>
      <c r="B283" s="12"/>
      <c r="C283" s="12"/>
      <c r="D283"/>
      <c r="E283"/>
      <c r="F283"/>
      <c r="G283"/>
      <c r="H283"/>
      <c r="I283"/>
      <c r="J283"/>
      <c r="K283"/>
      <c r="L283"/>
      <c r="M283"/>
      <c r="N283"/>
      <c r="O283"/>
      <c r="P283"/>
      <c r="Q283"/>
      <c r="R283"/>
      <c r="S283"/>
      <c r="T283"/>
      <c r="U283"/>
      <c r="V283"/>
      <c r="W283"/>
      <c r="X283"/>
      <c r="Y283"/>
      <c r="Z283" s="12"/>
      <c r="AA283" s="12"/>
      <c r="AB283" s="12"/>
      <c r="AC283" s="12"/>
      <c r="AD283" s="12"/>
      <c r="AE283" s="12"/>
      <c r="AF283" s="12"/>
      <c r="AG283" s="12"/>
      <c r="AH283" s="12"/>
      <c r="AI283" s="12"/>
    </row>
    <row r="284" spans="1:35" s="10" customFormat="1" x14ac:dyDescent="0.25">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2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2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25">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25">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25">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25">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2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2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2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2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2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2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2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2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2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2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2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2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2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2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2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2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2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2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2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2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2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2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2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2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2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2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2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2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2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2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2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2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2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2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2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2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2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2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2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2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2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2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2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2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2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2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2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2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2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2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2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2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2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2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2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2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2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2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2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2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2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2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2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2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2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2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2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2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2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2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2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2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2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2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2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2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2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2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2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2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2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2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2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2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2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2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2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2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2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25">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25">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25">
      <c r="A382" s="12"/>
      <c r="B382" s="12"/>
      <c r="C382" s="12"/>
      <c r="D382"/>
      <c r="E382"/>
      <c r="F382"/>
      <c r="G382"/>
      <c r="H382"/>
      <c r="I382"/>
      <c r="J382"/>
      <c r="K382"/>
      <c r="L382"/>
      <c r="M382"/>
      <c r="N382"/>
      <c r="O382"/>
      <c r="P382"/>
      <c r="Q382"/>
      <c r="R382"/>
      <c r="S382"/>
      <c r="T382"/>
      <c r="U382"/>
      <c r="V382"/>
      <c r="W382"/>
      <c r="X382"/>
      <c r="Y382"/>
      <c r="Z382" s="12"/>
      <c r="AA382" s="12"/>
      <c r="AB382" s="12"/>
      <c r="AC382" s="12"/>
      <c r="AD382" s="12"/>
      <c r="AE382" s="12"/>
      <c r="AF382" s="12"/>
      <c r="AG382" s="12"/>
      <c r="AH382" s="12"/>
      <c r="AI382" s="12"/>
    </row>
    <row r="383" spans="1:35" s="10" customFormat="1" x14ac:dyDescent="0.25">
      <c r="A383" s="12"/>
      <c r="B383" s="12"/>
      <c r="C383" s="12"/>
      <c r="D383"/>
      <c r="E383"/>
      <c r="F383"/>
      <c r="G383"/>
      <c r="H383"/>
      <c r="I383"/>
      <c r="J383"/>
      <c r="K383"/>
      <c r="L383"/>
      <c r="M383"/>
      <c r="N383"/>
      <c r="O383"/>
      <c r="P383"/>
      <c r="Q383"/>
      <c r="R383"/>
      <c r="S383"/>
      <c r="T383"/>
      <c r="U383"/>
      <c r="V383"/>
      <c r="W383"/>
      <c r="X383"/>
      <c r="Y383"/>
      <c r="Z383" s="12"/>
      <c r="AA383" s="12"/>
      <c r="AB383" s="12"/>
      <c r="AC383" s="12"/>
      <c r="AD383" s="12"/>
      <c r="AE383" s="12"/>
      <c r="AF383" s="12"/>
      <c r="AG383" s="12"/>
      <c r="AH383" s="12"/>
      <c r="AI383" s="12"/>
    </row>
    <row r="384" spans="1:35" s="10" customFormat="1" x14ac:dyDescent="0.25">
      <c r="A384" s="12"/>
      <c r="B384" s="12"/>
      <c r="C384" s="12"/>
      <c r="D384"/>
      <c r="E384"/>
      <c r="F384"/>
      <c r="G384"/>
      <c r="H384"/>
      <c r="I384"/>
      <c r="J384"/>
      <c r="K384"/>
      <c r="L384"/>
      <c r="M384"/>
      <c r="N384"/>
      <c r="O384"/>
      <c r="P384"/>
      <c r="Q384"/>
      <c r="R384"/>
      <c r="S384"/>
      <c r="T384"/>
      <c r="U384"/>
      <c r="V384"/>
      <c r="W384"/>
      <c r="X384"/>
      <c r="Y384"/>
      <c r="Z384" s="12"/>
      <c r="AA384" s="12"/>
      <c r="AB384" s="12"/>
      <c r="AC384" s="12"/>
      <c r="AD384" s="12"/>
      <c r="AE384" s="12"/>
      <c r="AF384" s="12"/>
      <c r="AG384" s="12"/>
      <c r="AH384" s="12"/>
      <c r="AI384" s="12"/>
    </row>
    <row r="385" spans="1:35" s="10" customFormat="1" x14ac:dyDescent="0.25">
      <c r="A385" s="12"/>
      <c r="B385" s="12"/>
      <c r="C385" s="12"/>
      <c r="D385"/>
      <c r="E385"/>
      <c r="F385"/>
      <c r="G385"/>
      <c r="H385"/>
      <c r="I385"/>
      <c r="J385"/>
      <c r="K385"/>
      <c r="L385"/>
      <c r="M385"/>
      <c r="N385"/>
      <c r="O385"/>
      <c r="P385"/>
      <c r="Q385"/>
      <c r="R385"/>
      <c r="S385"/>
      <c r="T385"/>
      <c r="U385"/>
      <c r="V385"/>
      <c r="W385"/>
      <c r="X385"/>
      <c r="Y385"/>
      <c r="Z385" s="12"/>
      <c r="AA385" s="12"/>
      <c r="AB385" s="12"/>
      <c r="AC385" s="12"/>
      <c r="AD385" s="12"/>
      <c r="AE385" s="12"/>
      <c r="AF385" s="12"/>
      <c r="AG385" s="12"/>
      <c r="AH385" s="12"/>
      <c r="AI385" s="12"/>
    </row>
    <row r="386" spans="1:35" s="10" customFormat="1" x14ac:dyDescent="0.25">
      <c r="A386" s="12"/>
      <c r="B386" s="12"/>
      <c r="C386" s="12"/>
      <c r="D386"/>
      <c r="E386"/>
      <c r="F386"/>
      <c r="G386"/>
      <c r="H386"/>
      <c r="I386"/>
      <c r="J386"/>
      <c r="K386"/>
      <c r="L386"/>
      <c r="M386"/>
      <c r="N386"/>
      <c r="O386"/>
      <c r="P386"/>
      <c r="Q386"/>
      <c r="R386"/>
      <c r="S386"/>
      <c r="T386"/>
      <c r="U386"/>
      <c r="V386"/>
      <c r="W386"/>
      <c r="X386"/>
      <c r="Y386"/>
      <c r="Z386" s="12"/>
      <c r="AA386" s="12"/>
      <c r="AB386" s="12"/>
      <c r="AC386" s="12"/>
      <c r="AD386" s="12"/>
      <c r="AE386" s="12"/>
      <c r="AF386" s="12"/>
      <c r="AG386" s="12"/>
      <c r="AH386" s="12"/>
      <c r="AI386" s="12"/>
    </row>
    <row r="387" spans="1:35" s="10" customFormat="1" x14ac:dyDescent="0.25">
      <c r="A387" s="12"/>
      <c r="B387" s="12"/>
      <c r="C387" s="12"/>
      <c r="D387"/>
      <c r="E387"/>
      <c r="F387"/>
      <c r="G387"/>
      <c r="H387"/>
      <c r="I387"/>
      <c r="J387"/>
      <c r="K387"/>
      <c r="L387"/>
      <c r="M387"/>
      <c r="N387"/>
      <c r="O387"/>
      <c r="P387"/>
      <c r="Q387"/>
      <c r="R387"/>
      <c r="S387"/>
      <c r="T387"/>
      <c r="U387"/>
      <c r="V387"/>
      <c r="W387"/>
      <c r="X387"/>
      <c r="Y387"/>
      <c r="Z387" s="12"/>
      <c r="AA387" s="12"/>
      <c r="AB387" s="12"/>
      <c r="AC387" s="12"/>
      <c r="AD387" s="12"/>
      <c r="AE387" s="12"/>
      <c r="AF387" s="12"/>
      <c r="AG387" s="12"/>
      <c r="AH387" s="12"/>
      <c r="AI387" s="12"/>
    </row>
    <row r="388" spans="1:35" s="10" customFormat="1" x14ac:dyDescent="0.25">
      <c r="A388" s="12"/>
      <c r="B388" s="12"/>
      <c r="C388" s="12"/>
      <c r="D388"/>
      <c r="E388"/>
      <c r="F388"/>
      <c r="G388"/>
      <c r="H388"/>
      <c r="I388"/>
      <c r="J388"/>
      <c r="K388"/>
      <c r="L388"/>
      <c r="M388"/>
      <c r="N388"/>
      <c r="O388"/>
      <c r="P388"/>
      <c r="Q388"/>
      <c r="R388"/>
      <c r="S388"/>
      <c r="T388"/>
      <c r="U388"/>
      <c r="V388"/>
      <c r="W388"/>
      <c r="X388"/>
      <c r="Y388"/>
      <c r="Z388" s="12"/>
      <c r="AA388" s="12"/>
      <c r="AB388" s="12"/>
      <c r="AC388" s="12"/>
      <c r="AD388" s="12"/>
      <c r="AE388" s="12"/>
      <c r="AF388" s="12"/>
      <c r="AG388" s="12"/>
      <c r="AH388" s="12"/>
      <c r="AI388" s="12"/>
    </row>
    <row r="389" spans="1:35" s="10" customFormat="1" x14ac:dyDescent="0.25">
      <c r="A389" s="12"/>
      <c r="B389" s="12"/>
      <c r="C389" s="12"/>
      <c r="D389"/>
      <c r="E389"/>
      <c r="F389"/>
      <c r="G389"/>
      <c r="H389"/>
      <c r="I389"/>
      <c r="J389"/>
      <c r="K389"/>
      <c r="L389"/>
      <c r="M389"/>
      <c r="N389"/>
      <c r="O389"/>
      <c r="P389"/>
      <c r="Q389"/>
      <c r="R389"/>
      <c r="S389"/>
      <c r="T389"/>
      <c r="U389"/>
      <c r="V389"/>
      <c r="W389"/>
      <c r="X389"/>
      <c r="Y389"/>
      <c r="Z389" s="12"/>
      <c r="AA389" s="12"/>
      <c r="AB389" s="12"/>
      <c r="AC389" s="12"/>
      <c r="AD389" s="12"/>
      <c r="AE389" s="12"/>
      <c r="AF389" s="12"/>
      <c r="AG389" s="12"/>
      <c r="AH389" s="12"/>
      <c r="AI389" s="12"/>
    </row>
    <row r="390" spans="1:35" s="10" customFormat="1" x14ac:dyDescent="0.25">
      <c r="A390" s="12"/>
      <c r="B390" s="12"/>
      <c r="C390" s="12"/>
      <c r="D390"/>
      <c r="E390"/>
      <c r="F390"/>
      <c r="G390"/>
      <c r="H390"/>
      <c r="I390"/>
      <c r="J390"/>
      <c r="K390"/>
      <c r="L390"/>
      <c r="M390"/>
      <c r="N390"/>
      <c r="O390"/>
      <c r="P390"/>
      <c r="Q390"/>
      <c r="R390"/>
      <c r="S390"/>
      <c r="T390"/>
      <c r="U390"/>
      <c r="V390"/>
      <c r="W390"/>
      <c r="X390"/>
      <c r="Y390"/>
      <c r="Z390" s="12"/>
      <c r="AA390" s="12"/>
      <c r="AB390" s="12"/>
      <c r="AC390" s="12"/>
      <c r="AD390" s="12"/>
      <c r="AE390" s="12"/>
      <c r="AF390" s="12"/>
      <c r="AG390" s="12"/>
      <c r="AH390" s="12"/>
      <c r="AI390" s="12"/>
    </row>
    <row r="391" spans="1:35" s="10" customFormat="1" x14ac:dyDescent="0.25">
      <c r="A391" s="12"/>
      <c r="B391" s="12"/>
      <c r="C391" s="12"/>
      <c r="D391"/>
      <c r="E391"/>
      <c r="F391"/>
      <c r="G391"/>
      <c r="H391"/>
      <c r="I391"/>
      <c r="J391"/>
      <c r="K391"/>
      <c r="L391"/>
      <c r="M391"/>
      <c r="N391"/>
      <c r="O391"/>
      <c r="P391"/>
      <c r="Q391"/>
      <c r="R391"/>
      <c r="S391"/>
      <c r="T391"/>
      <c r="U391"/>
      <c r="V391"/>
      <c r="W391"/>
      <c r="X391"/>
      <c r="Y391"/>
      <c r="Z391" s="12"/>
      <c r="AA391" s="12"/>
      <c r="AB391" s="12"/>
      <c r="AC391" s="12"/>
      <c r="AD391" s="12"/>
      <c r="AE391" s="12"/>
      <c r="AF391" s="12"/>
      <c r="AG391" s="12"/>
      <c r="AH391" s="12"/>
      <c r="AI391" s="12"/>
    </row>
    <row r="392" spans="1:35" s="10" customFormat="1" x14ac:dyDescent="0.25">
      <c r="A392" s="12"/>
      <c r="B392" s="12"/>
      <c r="C392" s="12"/>
      <c r="D392"/>
      <c r="E392"/>
      <c r="F392"/>
      <c r="G392"/>
      <c r="H392"/>
      <c r="I392"/>
      <c r="J392"/>
      <c r="K392"/>
      <c r="L392"/>
      <c r="M392"/>
      <c r="N392"/>
      <c r="O392"/>
      <c r="P392"/>
      <c r="Q392"/>
      <c r="R392"/>
      <c r="S392"/>
      <c r="T392"/>
      <c r="U392"/>
      <c r="V392"/>
      <c r="W392"/>
      <c r="X392"/>
      <c r="Y392"/>
      <c r="Z392" s="12"/>
      <c r="AA392" s="12"/>
      <c r="AB392" s="12"/>
      <c r="AC392" s="12"/>
      <c r="AD392" s="12"/>
      <c r="AE392" s="12"/>
      <c r="AF392" s="12"/>
      <c r="AG392" s="12"/>
      <c r="AH392" s="12"/>
      <c r="AI392" s="12"/>
    </row>
    <row r="393" spans="1:35" s="10" customFormat="1" x14ac:dyDescent="0.25">
      <c r="A393" s="12"/>
      <c r="B393" s="12"/>
      <c r="C393" s="12"/>
      <c r="D393"/>
      <c r="E393"/>
      <c r="F393"/>
      <c r="G393"/>
      <c r="H393"/>
      <c r="I393"/>
      <c r="J393"/>
      <c r="K393"/>
      <c r="L393"/>
      <c r="M393"/>
      <c r="N393"/>
      <c r="O393"/>
      <c r="P393"/>
      <c r="Q393"/>
      <c r="R393"/>
      <c r="S393"/>
      <c r="T393"/>
      <c r="U393"/>
      <c r="V393"/>
      <c r="W393"/>
      <c r="X393"/>
      <c r="Y393"/>
      <c r="Z393" s="12"/>
      <c r="AA393" s="12"/>
      <c r="AB393" s="12"/>
      <c r="AC393" s="12"/>
      <c r="AD393" s="12"/>
      <c r="AE393" s="12"/>
      <c r="AF393" s="12"/>
      <c r="AG393" s="12"/>
      <c r="AH393" s="12"/>
      <c r="AI393" s="12"/>
    </row>
    <row r="394" spans="1:35" s="10" customFormat="1" x14ac:dyDescent="0.25">
      <c r="A394" s="12"/>
      <c r="B394" s="12"/>
      <c r="C394" s="12"/>
      <c r="D394"/>
      <c r="E394"/>
      <c r="F394"/>
      <c r="G394"/>
      <c r="H394"/>
      <c r="I394"/>
      <c r="J394"/>
      <c r="K394"/>
      <c r="L394"/>
      <c r="M394"/>
      <c r="N394"/>
      <c r="O394"/>
      <c r="P394"/>
      <c r="Q394"/>
      <c r="R394"/>
      <c r="S394"/>
      <c r="T394"/>
      <c r="U394"/>
      <c r="V394"/>
      <c r="W394"/>
      <c r="X394"/>
      <c r="Y394"/>
      <c r="Z394" s="12"/>
      <c r="AA394" s="12"/>
      <c r="AB394" s="12"/>
      <c r="AC394" s="12"/>
      <c r="AD394" s="12"/>
      <c r="AE394" s="12"/>
      <c r="AF394" s="12"/>
      <c r="AG394" s="12"/>
      <c r="AH394" s="12"/>
      <c r="AI394" s="12"/>
    </row>
    <row r="395" spans="1:35" s="10" customFormat="1" x14ac:dyDescent="0.25">
      <c r="A395" s="12"/>
      <c r="B395" s="12"/>
      <c r="C395" s="12"/>
      <c r="D395"/>
      <c r="E395"/>
      <c r="F395"/>
      <c r="G395"/>
      <c r="H395"/>
      <c r="I395"/>
      <c r="J395"/>
      <c r="K395"/>
      <c r="L395"/>
      <c r="M395"/>
      <c r="N395"/>
      <c r="O395"/>
      <c r="P395"/>
      <c r="Q395"/>
      <c r="R395"/>
      <c r="S395"/>
      <c r="T395"/>
      <c r="U395"/>
      <c r="V395"/>
      <c r="W395"/>
      <c r="X395"/>
      <c r="Y395"/>
      <c r="Z395" s="12"/>
      <c r="AA395" s="12"/>
      <c r="AB395" s="12"/>
      <c r="AC395" s="12"/>
      <c r="AD395" s="12"/>
      <c r="AE395" s="12"/>
      <c r="AF395" s="12"/>
      <c r="AG395" s="12"/>
      <c r="AH395" s="12"/>
      <c r="AI395" s="12"/>
    </row>
    <row r="396" spans="1:35" s="10" customFormat="1" x14ac:dyDescent="0.25">
      <c r="A396" s="12"/>
      <c r="B396" s="12"/>
      <c r="C396" s="12"/>
      <c r="D396"/>
      <c r="E396"/>
      <c r="F396"/>
      <c r="G396"/>
      <c r="H396"/>
      <c r="I396"/>
      <c r="J396"/>
      <c r="K396"/>
      <c r="L396"/>
      <c r="M396"/>
      <c r="N396"/>
      <c r="O396"/>
      <c r="P396"/>
      <c r="Q396"/>
      <c r="R396"/>
      <c r="S396"/>
      <c r="T396"/>
      <c r="U396"/>
      <c r="V396"/>
      <c r="W396"/>
      <c r="X396"/>
      <c r="Y396"/>
      <c r="Z396" s="12"/>
      <c r="AA396" s="12"/>
      <c r="AB396" s="12"/>
      <c r="AC396" s="12"/>
      <c r="AD396" s="12"/>
      <c r="AE396" s="12"/>
      <c r="AF396" s="12"/>
      <c r="AG396" s="12"/>
      <c r="AH396" s="12"/>
      <c r="AI396" s="12"/>
    </row>
    <row r="397" spans="1:35" s="10" customFormat="1" x14ac:dyDescent="0.25">
      <c r="A397" s="12"/>
      <c r="B397" s="12"/>
      <c r="C397" s="12"/>
      <c r="D397"/>
      <c r="E397"/>
      <c r="F397"/>
      <c r="G397"/>
      <c r="H397"/>
      <c r="I397"/>
      <c r="J397"/>
      <c r="K397"/>
      <c r="L397"/>
      <c r="M397"/>
      <c r="N397"/>
      <c r="O397"/>
      <c r="P397"/>
      <c r="Q397"/>
      <c r="R397"/>
      <c r="S397"/>
      <c r="T397"/>
      <c r="U397"/>
      <c r="V397"/>
      <c r="W397"/>
      <c r="X397"/>
      <c r="Y397"/>
      <c r="Z397" s="12"/>
      <c r="AA397" s="12"/>
      <c r="AB397" s="12"/>
      <c r="AC397" s="12"/>
      <c r="AD397" s="12"/>
      <c r="AE397" s="12"/>
      <c r="AF397" s="12"/>
      <c r="AG397" s="12"/>
      <c r="AH397" s="12"/>
      <c r="AI397" s="12"/>
    </row>
    <row r="398" spans="1:35" s="10" customFormat="1" x14ac:dyDescent="0.25">
      <c r="A398" s="12"/>
      <c r="B398" s="12"/>
      <c r="C398" s="12"/>
      <c r="D398"/>
      <c r="E398"/>
      <c r="F398"/>
      <c r="G398"/>
      <c r="H398"/>
      <c r="I398"/>
      <c r="J398"/>
      <c r="K398"/>
      <c r="L398"/>
      <c r="M398"/>
      <c r="N398"/>
      <c r="O398"/>
      <c r="P398"/>
      <c r="Q398"/>
      <c r="R398"/>
      <c r="S398"/>
      <c r="T398"/>
      <c r="U398"/>
      <c r="V398"/>
      <c r="W398"/>
      <c r="X398"/>
      <c r="Y398"/>
      <c r="Z398" s="12"/>
      <c r="AA398" s="12"/>
      <c r="AB398" s="12"/>
      <c r="AC398" s="12"/>
      <c r="AD398" s="12"/>
      <c r="AE398" s="12"/>
      <c r="AF398" s="12"/>
      <c r="AG398" s="12"/>
      <c r="AH398" s="12"/>
      <c r="AI398" s="12"/>
    </row>
    <row r="399" spans="1:35" s="10" customFormat="1" x14ac:dyDescent="0.25">
      <c r="A399" s="12"/>
      <c r="B399" s="12"/>
      <c r="C399" s="12"/>
      <c r="D399"/>
      <c r="E399"/>
      <c r="F399"/>
      <c r="G399"/>
      <c r="H399"/>
      <c r="I399"/>
      <c r="J399"/>
      <c r="K399"/>
      <c r="L399"/>
      <c r="M399"/>
      <c r="N399"/>
      <c r="O399"/>
      <c r="P399"/>
      <c r="Q399"/>
      <c r="R399"/>
      <c r="S399"/>
      <c r="T399"/>
      <c r="U399"/>
      <c r="V399"/>
      <c r="W399"/>
      <c r="X399"/>
      <c r="Y399"/>
      <c r="Z399" s="12"/>
      <c r="AA399" s="12"/>
      <c r="AB399" s="12"/>
      <c r="AC399" s="12"/>
      <c r="AD399" s="12"/>
      <c r="AE399" s="12"/>
      <c r="AF399" s="12"/>
      <c r="AG399" s="12"/>
      <c r="AH399" s="12"/>
      <c r="AI399" s="12"/>
    </row>
    <row r="400" spans="1:35" s="10" customFormat="1" x14ac:dyDescent="0.25">
      <c r="A400" s="12"/>
      <c r="B400" s="12"/>
      <c r="C400" s="12"/>
      <c r="D400"/>
      <c r="E400"/>
      <c r="F400"/>
      <c r="G400"/>
      <c r="H400"/>
      <c r="I400"/>
      <c r="J400"/>
      <c r="K400"/>
      <c r="L400"/>
      <c r="M400"/>
      <c r="N400"/>
      <c r="O400"/>
      <c r="P400"/>
      <c r="Q400"/>
      <c r="R400"/>
      <c r="S400"/>
      <c r="T400"/>
      <c r="U400"/>
      <c r="V400"/>
      <c r="W400"/>
      <c r="X400"/>
      <c r="Y400"/>
      <c r="Z400" s="12"/>
      <c r="AA400" s="12"/>
      <c r="AB400" s="12"/>
      <c r="AC400" s="12"/>
      <c r="AD400" s="12"/>
      <c r="AE400" s="12"/>
      <c r="AF400" s="12"/>
      <c r="AG400" s="12"/>
      <c r="AH400" s="12"/>
      <c r="AI400" s="12"/>
    </row>
    <row r="401" spans="1:35" s="10" customFormat="1" x14ac:dyDescent="0.25">
      <c r="A401" s="12"/>
      <c r="B401" s="12"/>
      <c r="C401" s="12"/>
      <c r="D401"/>
      <c r="E401"/>
      <c r="F401"/>
      <c r="G401"/>
      <c r="H401"/>
      <c r="I401"/>
      <c r="J401"/>
      <c r="K401"/>
      <c r="L401"/>
      <c r="M401"/>
      <c r="N401"/>
      <c r="O401"/>
      <c r="P401"/>
      <c r="Q401"/>
      <c r="R401"/>
      <c r="S401"/>
      <c r="T401"/>
      <c r="U401"/>
      <c r="V401"/>
      <c r="W401"/>
      <c r="X401"/>
      <c r="Y401"/>
      <c r="Z401" s="12"/>
      <c r="AA401" s="12"/>
      <c r="AB401" s="12"/>
      <c r="AC401" s="12"/>
      <c r="AD401" s="12"/>
      <c r="AE401" s="12"/>
      <c r="AF401" s="12"/>
      <c r="AG401" s="12"/>
      <c r="AH401" s="12"/>
      <c r="AI401" s="12"/>
    </row>
    <row r="402" spans="1:35" s="10" customFormat="1" x14ac:dyDescent="0.25">
      <c r="A402" s="12"/>
      <c r="B402" s="12"/>
      <c r="C402" s="12"/>
      <c r="D402"/>
      <c r="E402"/>
      <c r="F402"/>
      <c r="G402"/>
      <c r="H402"/>
      <c r="I402"/>
      <c r="J402"/>
      <c r="K402"/>
      <c r="L402"/>
      <c r="M402"/>
      <c r="N402"/>
      <c r="O402"/>
      <c r="P402"/>
      <c r="Q402"/>
      <c r="R402"/>
      <c r="S402"/>
      <c r="T402"/>
      <c r="U402"/>
      <c r="V402"/>
      <c r="W402"/>
      <c r="X402"/>
      <c r="Y402"/>
      <c r="Z402" s="12"/>
      <c r="AA402" s="12"/>
      <c r="AB402" s="12"/>
      <c r="AC402" s="12"/>
      <c r="AD402" s="12"/>
      <c r="AE402" s="12"/>
      <c r="AF402" s="12"/>
      <c r="AG402" s="12"/>
      <c r="AH402" s="12"/>
      <c r="AI402" s="12"/>
    </row>
    <row r="403" spans="1:35" s="10" customFormat="1" x14ac:dyDescent="0.25">
      <c r="A403" s="12"/>
      <c r="B403" s="12"/>
      <c r="C403" s="12"/>
      <c r="D403"/>
      <c r="E403"/>
      <c r="F403"/>
      <c r="G403"/>
      <c r="H403"/>
      <c r="I403"/>
      <c r="J403"/>
      <c r="K403"/>
      <c r="L403"/>
      <c r="M403"/>
      <c r="N403"/>
      <c r="O403"/>
      <c r="P403"/>
      <c r="Q403"/>
      <c r="R403"/>
      <c r="S403"/>
      <c r="T403"/>
      <c r="U403"/>
      <c r="V403"/>
      <c r="W403"/>
      <c r="X403"/>
      <c r="Y403"/>
      <c r="Z403" s="12"/>
      <c r="AA403" s="12"/>
      <c r="AB403" s="12"/>
      <c r="AC403" s="12"/>
      <c r="AD403" s="12"/>
      <c r="AE403" s="12"/>
      <c r="AF403" s="12"/>
      <c r="AG403" s="12"/>
      <c r="AH403" s="12"/>
      <c r="AI403" s="12"/>
    </row>
    <row r="404" spans="1:35" s="10" customFormat="1" x14ac:dyDescent="0.25">
      <c r="A404" s="12"/>
      <c r="B404" s="12"/>
      <c r="C404" s="12"/>
      <c r="D404"/>
      <c r="E404"/>
      <c r="F404"/>
      <c r="G404"/>
      <c r="H404"/>
      <c r="I404"/>
      <c r="J404"/>
      <c r="K404"/>
      <c r="L404"/>
      <c r="M404"/>
      <c r="N404"/>
      <c r="O404"/>
      <c r="P404"/>
      <c r="Q404"/>
      <c r="R404"/>
      <c r="S404"/>
      <c r="T404"/>
      <c r="U404"/>
      <c r="V404"/>
      <c r="W404"/>
      <c r="X404"/>
      <c r="Y404"/>
      <c r="Z404" s="12"/>
      <c r="AA404" s="12"/>
      <c r="AB404" s="12"/>
      <c r="AC404" s="12"/>
      <c r="AD404" s="12"/>
      <c r="AE404" s="12"/>
      <c r="AF404" s="12"/>
      <c r="AG404" s="12"/>
      <c r="AH404" s="12"/>
      <c r="AI404" s="12"/>
    </row>
    <row r="405" spans="1:35" s="10" customFormat="1" x14ac:dyDescent="0.25">
      <c r="A405" s="12"/>
      <c r="B405" s="12"/>
      <c r="C405" s="12"/>
      <c r="D405"/>
      <c r="E405"/>
      <c r="F405"/>
      <c r="G405"/>
      <c r="H405"/>
      <c r="I405"/>
      <c r="J405"/>
      <c r="K405"/>
      <c r="L405"/>
      <c r="M405"/>
      <c r="N405"/>
      <c r="O405"/>
      <c r="P405"/>
      <c r="Q405"/>
      <c r="R405"/>
      <c r="S405"/>
      <c r="T405"/>
      <c r="U405"/>
      <c r="V405"/>
      <c r="W405"/>
      <c r="X405"/>
      <c r="Y405"/>
      <c r="Z405" s="12"/>
      <c r="AA405" s="12"/>
      <c r="AB405" s="12"/>
      <c r="AC405" s="12"/>
      <c r="AD405" s="12"/>
      <c r="AE405" s="12"/>
      <c r="AF405" s="12"/>
      <c r="AG405" s="12"/>
      <c r="AH405" s="12"/>
      <c r="AI405" s="12"/>
    </row>
    <row r="406" spans="1:35" s="10" customFormat="1" x14ac:dyDescent="0.25">
      <c r="A406" s="12"/>
      <c r="B406" s="12"/>
      <c r="C406" s="12"/>
      <c r="D406"/>
      <c r="E406"/>
      <c r="F406"/>
      <c r="G406"/>
      <c r="H406"/>
      <c r="I406"/>
      <c r="J406"/>
      <c r="K406"/>
      <c r="L406"/>
      <c r="M406"/>
      <c r="N406"/>
      <c r="O406"/>
      <c r="P406"/>
      <c r="Q406"/>
      <c r="R406"/>
      <c r="S406"/>
      <c r="T406"/>
      <c r="U406"/>
      <c r="V406"/>
      <c r="W406"/>
      <c r="X406"/>
      <c r="Y406"/>
      <c r="Z406" s="12"/>
      <c r="AA406" s="12"/>
      <c r="AB406" s="12"/>
      <c r="AC406" s="12"/>
      <c r="AD406" s="12"/>
      <c r="AE406" s="12"/>
      <c r="AF406" s="12"/>
      <c r="AG406" s="12"/>
      <c r="AH406" s="12"/>
      <c r="AI406" s="12"/>
    </row>
    <row r="407" spans="1:35" s="10" customFormat="1" x14ac:dyDescent="0.25">
      <c r="A407" s="12"/>
      <c r="B407" s="12"/>
      <c r="C407" s="12"/>
      <c r="D407"/>
      <c r="E407"/>
      <c r="F407"/>
      <c r="G407"/>
      <c r="H407"/>
      <c r="I407"/>
      <c r="J407"/>
      <c r="K407"/>
      <c r="L407"/>
      <c r="M407"/>
      <c r="N407"/>
      <c r="O407"/>
      <c r="P407"/>
      <c r="Q407"/>
      <c r="R407"/>
      <c r="S407"/>
      <c r="T407"/>
      <c r="U407"/>
      <c r="V407"/>
      <c r="W407"/>
      <c r="X407"/>
      <c r="Y407"/>
      <c r="Z407" s="12"/>
      <c r="AA407" s="12"/>
      <c r="AB407" s="12"/>
      <c r="AC407" s="12"/>
      <c r="AD407" s="12"/>
      <c r="AE407" s="12"/>
      <c r="AF407" s="12"/>
      <c r="AG407" s="12"/>
      <c r="AH407" s="12"/>
      <c r="AI407" s="12"/>
    </row>
    <row r="408" spans="1:35" s="10" customFormat="1" x14ac:dyDescent="0.25">
      <c r="A408" s="12"/>
      <c r="B408" s="12"/>
      <c r="C408" s="12"/>
      <c r="D408"/>
      <c r="E408"/>
      <c r="F408"/>
      <c r="G408"/>
      <c r="H408"/>
      <c r="I408"/>
      <c r="J408"/>
      <c r="K408"/>
      <c r="L408"/>
      <c r="M408"/>
      <c r="N408"/>
      <c r="O408"/>
      <c r="P408"/>
      <c r="Q408"/>
      <c r="R408"/>
      <c r="S408"/>
      <c r="T408"/>
      <c r="U408"/>
      <c r="V408"/>
      <c r="W408"/>
      <c r="X408"/>
      <c r="Y408"/>
      <c r="Z408" s="12"/>
      <c r="AA408" s="12"/>
      <c r="AB408" s="12"/>
      <c r="AC408" s="12"/>
      <c r="AD408" s="12"/>
      <c r="AE408" s="12"/>
      <c r="AF408" s="12"/>
      <c r="AG408" s="12"/>
      <c r="AH408" s="12"/>
      <c r="AI408" s="12"/>
    </row>
    <row r="409" spans="1:35" s="10" customFormat="1" x14ac:dyDescent="0.25">
      <c r="A409" s="12"/>
      <c r="B409" s="12"/>
      <c r="C409" s="12"/>
      <c r="D409"/>
      <c r="E409"/>
      <c r="F409"/>
      <c r="G409"/>
      <c r="H409"/>
      <c r="I409"/>
      <c r="J409"/>
      <c r="K409"/>
      <c r="L409"/>
      <c r="M409"/>
      <c r="N409"/>
      <c r="O409"/>
      <c r="P409"/>
      <c r="Q409"/>
      <c r="R409"/>
      <c r="S409"/>
      <c r="T409"/>
      <c r="U409"/>
      <c r="V409"/>
      <c r="W409"/>
      <c r="X409"/>
      <c r="Y409"/>
      <c r="Z409" s="12"/>
      <c r="AA409" s="12"/>
      <c r="AB409" s="12"/>
      <c r="AC409" s="12"/>
      <c r="AD409" s="12"/>
      <c r="AE409" s="12"/>
      <c r="AF409" s="12"/>
      <c r="AG409" s="12"/>
      <c r="AH409" s="12"/>
      <c r="AI409" s="12"/>
    </row>
    <row r="410" spans="1:35" s="10" customFormat="1" x14ac:dyDescent="0.25">
      <c r="A410" s="12"/>
      <c r="B410" s="12"/>
      <c r="C410" s="12"/>
      <c r="D410"/>
      <c r="E410"/>
      <c r="F410"/>
      <c r="G410" s="3"/>
      <c r="H410" s="3"/>
      <c r="I410" s="3"/>
      <c r="J410" s="3"/>
      <c r="K410"/>
      <c r="L410"/>
      <c r="M410"/>
      <c r="N410" s="3"/>
      <c r="O410" s="3"/>
      <c r="P410" s="3"/>
      <c r="Q410" s="3"/>
      <c r="R410" s="3"/>
      <c r="S410"/>
      <c r="T410"/>
      <c r="U410"/>
      <c r="V410"/>
      <c r="W410" s="12"/>
      <c r="X410" s="12"/>
      <c r="Y410" s="12"/>
      <c r="Z410" s="12"/>
      <c r="AA410" s="12"/>
      <c r="AB410" s="12"/>
      <c r="AC410" s="12"/>
      <c r="AD410" s="12"/>
      <c r="AE410" s="12"/>
      <c r="AF410" s="12"/>
      <c r="AG410" s="12"/>
      <c r="AH410" s="12"/>
      <c r="AI410" s="12"/>
    </row>
    <row r="411" spans="1:35" s="10" customFormat="1" x14ac:dyDescent="0.25">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25">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25">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25">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25">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25">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25">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2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2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2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2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2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2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2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2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2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2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2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2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2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2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2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2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2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2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2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2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2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25">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25">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25">
      <c r="A441" s="12"/>
      <c r="B441" s="12"/>
      <c r="C441" s="12"/>
      <c r="D441"/>
      <c r="E441"/>
      <c r="F441"/>
      <c r="G441" s="3"/>
      <c r="H441" s="3"/>
      <c r="I441" s="3"/>
      <c r="J441" s="3"/>
      <c r="K441"/>
      <c r="L441"/>
      <c r="M441"/>
      <c r="N441" s="3"/>
      <c r="O441" s="3"/>
      <c r="P441" s="3"/>
      <c r="Q441" s="3"/>
      <c r="R441" s="3"/>
      <c r="S441"/>
      <c r="T441"/>
      <c r="U441"/>
      <c r="V441"/>
      <c r="W441" s="12"/>
      <c r="X441" s="12"/>
      <c r="Y441" s="12"/>
      <c r="Z441" s="12"/>
      <c r="AA441" s="12"/>
      <c r="AB441" s="12"/>
      <c r="AC441" s="12"/>
      <c r="AD441" s="12"/>
      <c r="AE441" s="12"/>
      <c r="AF441" s="12"/>
      <c r="AG441" s="12"/>
      <c r="AH441" s="12"/>
      <c r="AI441" s="12"/>
    </row>
    <row r="442" spans="1:35" s="10" customFormat="1" x14ac:dyDescent="0.25">
      <c r="A442" s="12"/>
      <c r="B442" s="12"/>
      <c r="C442" s="12"/>
      <c r="D442"/>
      <c r="E442"/>
      <c r="F442"/>
      <c r="G442" s="3"/>
      <c r="H442" s="3"/>
      <c r="I442" s="3"/>
      <c r="J442" s="3"/>
      <c r="K442"/>
      <c r="L442"/>
      <c r="M442"/>
      <c r="N442" s="3"/>
      <c r="O442" s="3"/>
      <c r="P442" s="3"/>
      <c r="Q442" s="3"/>
      <c r="R442" s="3"/>
      <c r="S442"/>
      <c r="T442"/>
      <c r="U442"/>
      <c r="V442"/>
      <c r="W442" s="12"/>
      <c r="X442" s="12"/>
      <c r="Y442" s="12"/>
      <c r="Z442" s="12"/>
      <c r="AA442" s="12"/>
      <c r="AB442" s="12"/>
      <c r="AC442" s="12"/>
      <c r="AD442" s="12"/>
      <c r="AE442" s="12"/>
      <c r="AF442" s="12"/>
      <c r="AG442" s="12"/>
      <c r="AH442" s="12"/>
      <c r="AI442" s="12"/>
    </row>
    <row r="443" spans="1:35" s="10" customFormat="1" x14ac:dyDescent="0.25">
      <c r="A443" s="12"/>
      <c r="B443" s="12"/>
      <c r="C443" s="12"/>
      <c r="D443"/>
      <c r="E443"/>
      <c r="F443"/>
      <c r="G443" s="3"/>
      <c r="H443" s="3"/>
      <c r="I443" s="3"/>
      <c r="J443" s="3"/>
      <c r="K443"/>
      <c r="L443"/>
      <c r="M443"/>
      <c r="N443" s="3"/>
      <c r="O443" s="3"/>
      <c r="P443" s="3"/>
      <c r="Q443" s="3"/>
      <c r="R443" s="3"/>
      <c r="S443"/>
      <c r="T443"/>
      <c r="U443"/>
      <c r="V443"/>
      <c r="W443" s="12"/>
      <c r="X443" s="12"/>
      <c r="Y443" s="12"/>
      <c r="Z443" s="12"/>
      <c r="AA443" s="12"/>
      <c r="AB443" s="12"/>
      <c r="AC443" s="12"/>
      <c r="AD443" s="12"/>
      <c r="AE443" s="12"/>
      <c r="AF443" s="12"/>
      <c r="AG443" s="12"/>
      <c r="AH443" s="12"/>
      <c r="AI443" s="12"/>
    </row>
    <row r="444" spans="1:35" s="10" customFormat="1" x14ac:dyDescent="0.25">
      <c r="A444" s="12"/>
      <c r="B444" s="12"/>
      <c r="C444" s="12"/>
      <c r="D444"/>
      <c r="E444"/>
      <c r="F444"/>
      <c r="G444" s="3"/>
      <c r="H444" s="3"/>
      <c r="I444" s="3"/>
      <c r="J444" s="3"/>
      <c r="K444"/>
      <c r="L444"/>
      <c r="M444"/>
      <c r="N444" s="3"/>
      <c r="O444" s="3"/>
      <c r="P444" s="3"/>
      <c r="Q444" s="3"/>
      <c r="R444" s="3"/>
      <c r="S444"/>
      <c r="T444"/>
      <c r="U444"/>
      <c r="V444"/>
      <c r="W444" s="12"/>
      <c r="X444" s="12"/>
      <c r="Y444" s="12"/>
      <c r="Z444" s="12"/>
      <c r="AA444" s="12"/>
      <c r="AB444" s="12"/>
      <c r="AC444" s="12"/>
      <c r="AD444" s="12"/>
      <c r="AE444" s="12"/>
      <c r="AF444" s="12"/>
      <c r="AG444" s="12"/>
      <c r="AH444" s="12"/>
      <c r="AI444" s="12"/>
    </row>
    <row r="445" spans="1:35" s="10" customFormat="1" x14ac:dyDescent="0.25">
      <c r="A445" s="12"/>
      <c r="B445" s="12"/>
      <c r="C445" s="12"/>
      <c r="D445"/>
      <c r="E445"/>
      <c r="F445"/>
      <c r="G445" s="3"/>
      <c r="H445" s="3"/>
      <c r="I445" s="3"/>
      <c r="J445" s="3"/>
      <c r="K445"/>
      <c r="L445"/>
      <c r="M445"/>
      <c r="N445" s="3"/>
      <c r="O445" s="3"/>
      <c r="P445" s="3"/>
      <c r="Q445" s="3"/>
      <c r="R445" s="3"/>
      <c r="S445"/>
      <c r="T445"/>
      <c r="U445"/>
      <c r="V445"/>
      <c r="W445" s="12"/>
      <c r="X445" s="12"/>
      <c r="Y445" s="12"/>
      <c r="Z445" s="12"/>
      <c r="AA445" s="12"/>
      <c r="AB445" s="12"/>
      <c r="AC445" s="12"/>
      <c r="AD445" s="12"/>
      <c r="AE445" s="12"/>
      <c r="AF445" s="12"/>
      <c r="AG445" s="12"/>
      <c r="AH445" s="12"/>
      <c r="AI445" s="12"/>
    </row>
    <row r="446" spans="1:35" s="10" customFormat="1" x14ac:dyDescent="0.25">
      <c r="A446" s="12"/>
      <c r="B446" s="12"/>
      <c r="C446" s="12"/>
      <c r="D446"/>
      <c r="E446"/>
      <c r="F446"/>
      <c r="G446" s="3"/>
      <c r="H446" s="3"/>
      <c r="I446" s="3"/>
      <c r="J446" s="3"/>
      <c r="K446"/>
      <c r="L446"/>
      <c r="M446"/>
      <c r="N446" s="3"/>
      <c r="O446" s="3"/>
      <c r="P446" s="3"/>
      <c r="Q446" s="3"/>
      <c r="R446" s="3"/>
      <c r="S446"/>
      <c r="T446"/>
      <c r="U446"/>
      <c r="V446"/>
      <c r="W446" s="12"/>
      <c r="X446" s="12"/>
      <c r="Y446" s="12"/>
      <c r="Z446" s="12"/>
      <c r="AA446" s="12"/>
      <c r="AB446" s="12"/>
      <c r="AC446" s="12"/>
      <c r="AD446" s="12"/>
      <c r="AE446" s="12"/>
      <c r="AF446" s="12"/>
      <c r="AG446" s="12"/>
      <c r="AH446" s="12"/>
      <c r="AI446" s="12"/>
    </row>
    <row r="447" spans="1:35" s="10" customFormat="1" x14ac:dyDescent="0.25">
      <c r="A447" s="12"/>
      <c r="B447" s="12"/>
      <c r="C447" s="12"/>
      <c r="D447"/>
      <c r="E447"/>
      <c r="F447"/>
      <c r="G447" s="3"/>
      <c r="H447" s="3"/>
      <c r="I447" s="3"/>
      <c r="J447" s="3"/>
      <c r="K447"/>
      <c r="L447"/>
      <c r="M447"/>
      <c r="N447" s="3"/>
      <c r="O447" s="3"/>
      <c r="P447" s="3"/>
      <c r="Q447" s="3"/>
      <c r="R447" s="3"/>
      <c r="S447"/>
      <c r="T447"/>
      <c r="U447"/>
      <c r="V447"/>
      <c r="W447" s="12"/>
      <c r="X447" s="12"/>
      <c r="Y447" s="12"/>
      <c r="Z447" s="12"/>
      <c r="AA447" s="12"/>
      <c r="AB447" s="12"/>
      <c r="AC447" s="12"/>
      <c r="AD447" s="12"/>
      <c r="AE447" s="12"/>
      <c r="AF447" s="12"/>
      <c r="AG447" s="12"/>
      <c r="AH447" s="12"/>
      <c r="AI447" s="12"/>
    </row>
    <row r="448" spans="1:35" s="10" customFormat="1" x14ac:dyDescent="0.25">
      <c r="A448" s="12"/>
      <c r="B448" s="12"/>
      <c r="C448" s="12"/>
      <c r="D448"/>
      <c r="E448"/>
      <c r="F448"/>
      <c r="G448" s="3"/>
      <c r="H448" s="3"/>
      <c r="I448" s="3"/>
      <c r="J448" s="3"/>
      <c r="K448"/>
      <c r="L448"/>
      <c r="M448"/>
      <c r="N448" s="3"/>
      <c r="O448" s="3"/>
      <c r="P448" s="3"/>
      <c r="Q448" s="3"/>
      <c r="R448" s="3"/>
      <c r="S448"/>
      <c r="T448"/>
      <c r="U448"/>
      <c r="V448"/>
      <c r="W448" s="12"/>
      <c r="X448" s="12"/>
      <c r="Y448" s="12"/>
      <c r="Z448" s="12"/>
      <c r="AA448" s="12"/>
      <c r="AB448" s="12"/>
      <c r="AC448" s="12"/>
      <c r="AD448" s="12"/>
      <c r="AE448" s="12"/>
      <c r="AF448" s="12"/>
      <c r="AG448" s="12"/>
      <c r="AH448" s="12"/>
      <c r="AI448" s="12"/>
    </row>
    <row r="449" spans="1:35" s="10" customFormat="1" x14ac:dyDescent="0.25">
      <c r="A449" s="12"/>
      <c r="B449" s="12"/>
      <c r="C449" s="12"/>
      <c r="D449"/>
      <c r="E449"/>
      <c r="F449"/>
      <c r="G449" s="3"/>
      <c r="H449" s="3"/>
      <c r="I449" s="3"/>
      <c r="J449" s="3"/>
      <c r="K449"/>
      <c r="L449"/>
      <c r="M449"/>
      <c r="N449" s="3"/>
      <c r="O449" s="3"/>
      <c r="P449" s="3"/>
      <c r="Q449" s="3"/>
      <c r="R449" s="3"/>
      <c r="S449"/>
      <c r="T449"/>
      <c r="U449"/>
      <c r="V449"/>
      <c r="W449" s="12"/>
      <c r="X449" s="12"/>
      <c r="Y449" s="12"/>
      <c r="Z449" s="12"/>
      <c r="AA449" s="12"/>
      <c r="AB449" s="12"/>
      <c r="AC449" s="12"/>
      <c r="AD449" s="12"/>
      <c r="AE449" s="12"/>
      <c r="AF449" s="12"/>
      <c r="AG449" s="12"/>
      <c r="AH449" s="12"/>
      <c r="AI449" s="12"/>
    </row>
    <row r="450" spans="1:35" s="10" customFormat="1" x14ac:dyDescent="0.25">
      <c r="A450" s="12"/>
      <c r="B450" s="12"/>
      <c r="C450" s="12"/>
      <c r="D450"/>
      <c r="E450"/>
      <c r="F450"/>
      <c r="G450" s="3"/>
      <c r="H450" s="3"/>
      <c r="I450" s="3"/>
      <c r="J450" s="3"/>
      <c r="K450"/>
      <c r="L450"/>
      <c r="M450"/>
      <c r="N450" s="3"/>
      <c r="O450" s="3"/>
      <c r="P450" s="3"/>
      <c r="Q450" s="3"/>
      <c r="R450" s="3"/>
      <c r="S450"/>
      <c r="T450"/>
      <c r="U450"/>
      <c r="V450"/>
      <c r="W450" s="12"/>
      <c r="X450" s="12"/>
      <c r="Y450" s="12"/>
      <c r="Z450" s="12"/>
      <c r="AA450" s="12"/>
      <c r="AB450" s="12"/>
      <c r="AC450" s="12"/>
      <c r="AD450" s="12"/>
      <c r="AE450" s="12"/>
      <c r="AF450" s="12"/>
      <c r="AG450" s="12"/>
      <c r="AH450" s="12"/>
      <c r="AI450" s="12"/>
    </row>
    <row r="451" spans="1:35" s="10" customFormat="1" x14ac:dyDescent="0.25">
      <c r="A451" s="12"/>
      <c r="B451" s="12"/>
      <c r="C451" s="12"/>
      <c r="D451"/>
      <c r="E451"/>
      <c r="F451"/>
      <c r="G451" s="3"/>
      <c r="H451" s="3"/>
      <c r="I451" s="3"/>
      <c r="J451" s="3"/>
      <c r="K451"/>
      <c r="L451"/>
      <c r="M451"/>
      <c r="N451" s="3"/>
      <c r="O451" s="3"/>
      <c r="P451" s="3"/>
      <c r="Q451" s="3"/>
      <c r="R451" s="3"/>
      <c r="S451"/>
      <c r="T451"/>
      <c r="U451"/>
      <c r="V451"/>
      <c r="W451" s="12"/>
      <c r="X451" s="12"/>
      <c r="Y451" s="12"/>
      <c r="Z451" s="12"/>
      <c r="AA451" s="12"/>
      <c r="AB451" s="12"/>
      <c r="AC451" s="12"/>
      <c r="AD451" s="12"/>
      <c r="AE451" s="12"/>
      <c r="AF451" s="12"/>
      <c r="AG451" s="12"/>
      <c r="AH451" s="12"/>
      <c r="AI451" s="12"/>
    </row>
    <row r="452" spans="1:35" s="10" customFormat="1" x14ac:dyDescent="0.25">
      <c r="A452" s="12"/>
      <c r="B452" s="12"/>
      <c r="C452" s="12"/>
      <c r="D452"/>
      <c r="E452"/>
      <c r="F452"/>
      <c r="G452" s="3"/>
      <c r="H452" s="3"/>
      <c r="I452" s="3"/>
      <c r="J452" s="3"/>
      <c r="K452"/>
      <c r="L452"/>
      <c r="M452"/>
      <c r="N452" s="3"/>
      <c r="O452" s="3"/>
      <c r="P452" s="3"/>
      <c r="Q452" s="3"/>
      <c r="R452" s="3"/>
      <c r="S452"/>
      <c r="T452"/>
      <c r="U452"/>
      <c r="V452"/>
      <c r="W452" s="12"/>
      <c r="X452" s="12"/>
      <c r="Y452" s="12"/>
      <c r="Z452" s="12"/>
      <c r="AA452" s="12"/>
      <c r="AB452" s="12"/>
      <c r="AC452" s="12"/>
      <c r="AD452" s="12"/>
      <c r="AE452" s="12"/>
      <c r="AF452" s="12"/>
      <c r="AG452" s="12"/>
      <c r="AH452" s="12"/>
      <c r="AI452" s="12"/>
    </row>
    <row r="453" spans="1:35" s="10" customFormat="1" x14ac:dyDescent="0.25">
      <c r="A453" s="12"/>
      <c r="B453" s="12"/>
      <c r="C453" s="12"/>
      <c r="D453"/>
      <c r="E453"/>
      <c r="F453"/>
      <c r="G453" s="3"/>
      <c r="H453" s="3"/>
      <c r="I453" s="3"/>
      <c r="J453" s="3"/>
      <c r="K453"/>
      <c r="L453"/>
      <c r="M453"/>
      <c r="N453" s="3"/>
      <c r="O453" s="3"/>
      <c r="P453" s="3"/>
      <c r="Q453" s="3"/>
      <c r="R453" s="3"/>
      <c r="S453"/>
      <c r="T453"/>
      <c r="U453"/>
      <c r="V453"/>
      <c r="W453" s="12"/>
      <c r="X453" s="12"/>
      <c r="Y453" s="12"/>
      <c r="Z453" s="12"/>
      <c r="AA453" s="12"/>
      <c r="AB453" s="12"/>
      <c r="AC453" s="12"/>
      <c r="AD453" s="12"/>
      <c r="AE453" s="12"/>
      <c r="AF453" s="12"/>
      <c r="AG453" s="12"/>
      <c r="AH453" s="12"/>
      <c r="AI453" s="12"/>
    </row>
    <row r="454" spans="1:35" s="10" customFormat="1" x14ac:dyDescent="0.25">
      <c r="A454" s="12"/>
      <c r="B454" s="12"/>
      <c r="C454" s="12"/>
      <c r="D454"/>
      <c r="E454"/>
      <c r="F454"/>
      <c r="G454" s="3"/>
      <c r="H454" s="3"/>
      <c r="I454" s="3"/>
      <c r="J454" s="3"/>
      <c r="K454"/>
      <c r="L454"/>
      <c r="M454"/>
      <c r="N454" s="3"/>
      <c r="O454" s="3"/>
      <c r="P454" s="3"/>
      <c r="Q454" s="3"/>
      <c r="R454" s="3"/>
      <c r="S454"/>
      <c r="T454"/>
      <c r="U454"/>
      <c r="V454"/>
      <c r="W454" s="12"/>
      <c r="X454" s="12"/>
      <c r="Y454" s="12"/>
      <c r="Z454" s="12"/>
      <c r="AA454" s="12"/>
      <c r="AB454" s="12"/>
      <c r="AC454" s="12"/>
      <c r="AD454" s="12"/>
      <c r="AE454" s="12"/>
      <c r="AF454" s="12"/>
      <c r="AG454" s="12"/>
      <c r="AH454" s="12"/>
      <c r="AI454" s="12"/>
    </row>
    <row r="455" spans="1:35" s="10" customFormat="1" x14ac:dyDescent="0.25">
      <c r="A455" s="12"/>
      <c r="B455" s="12"/>
      <c r="C455" s="12"/>
      <c r="D455"/>
      <c r="E455"/>
      <c r="F455"/>
      <c r="G455" s="3"/>
      <c r="H455" s="3"/>
      <c r="I455" s="3"/>
      <c r="J455" s="3"/>
      <c r="K455"/>
      <c r="L455"/>
      <c r="M455"/>
      <c r="N455" s="3"/>
      <c r="O455" s="3"/>
      <c r="P455" s="3"/>
      <c r="Q455" s="3"/>
      <c r="R455" s="3"/>
      <c r="S455"/>
      <c r="T455"/>
      <c r="U455"/>
      <c r="V455"/>
      <c r="W455" s="12"/>
      <c r="X455" s="12"/>
      <c r="Y455" s="12"/>
      <c r="Z455" s="12"/>
      <c r="AA455" s="12"/>
      <c r="AB455" s="12"/>
      <c r="AC455" s="12"/>
      <c r="AD455" s="12"/>
      <c r="AE455" s="12"/>
      <c r="AF455" s="12"/>
      <c r="AG455" s="12"/>
      <c r="AH455" s="12"/>
      <c r="AI455" s="12"/>
    </row>
    <row r="456" spans="1:35" s="10" customFormat="1" x14ac:dyDescent="0.25">
      <c r="A456" s="12"/>
      <c r="B456" s="12"/>
      <c r="C456" s="12"/>
      <c r="D456"/>
      <c r="E456"/>
      <c r="F456"/>
      <c r="G456" s="3"/>
      <c r="H456" s="3"/>
      <c r="I456" s="3"/>
      <c r="J456" s="3"/>
      <c r="K456"/>
      <c r="L456"/>
      <c r="M456"/>
      <c r="N456" s="3"/>
      <c r="O456" s="3"/>
      <c r="P456" s="3"/>
      <c r="Q456" s="3"/>
      <c r="R456" s="3"/>
      <c r="S456"/>
      <c r="T456"/>
      <c r="U456"/>
      <c r="V456"/>
      <c r="W456" s="12"/>
      <c r="X456" s="12"/>
      <c r="Y456" s="12"/>
      <c r="Z456" s="12"/>
      <c r="AA456" s="12"/>
      <c r="AB456" s="12"/>
      <c r="AC456" s="12"/>
      <c r="AD456" s="12"/>
      <c r="AE456" s="12"/>
      <c r="AF456" s="12"/>
      <c r="AG456" s="12"/>
      <c r="AH456" s="12"/>
      <c r="AI456" s="12"/>
    </row>
    <row r="457" spans="1:35" s="10" customFormat="1" x14ac:dyDescent="0.25">
      <c r="A457" s="12"/>
      <c r="B457" s="12"/>
      <c r="C457" s="12"/>
      <c r="D457"/>
      <c r="E457"/>
      <c r="F457"/>
      <c r="G457" s="3"/>
      <c r="H457" s="3"/>
      <c r="I457" s="3"/>
      <c r="J457" s="3"/>
      <c r="K457"/>
      <c r="L457"/>
      <c r="M457"/>
      <c r="N457" s="3"/>
      <c r="O457" s="3"/>
      <c r="P457" s="3"/>
      <c r="Q457" s="3"/>
      <c r="R457" s="3"/>
      <c r="S457"/>
      <c r="T457"/>
      <c r="U457"/>
      <c r="V457"/>
      <c r="W457" s="12"/>
      <c r="X457" s="12"/>
      <c r="Y457" s="12"/>
      <c r="Z457" s="12"/>
      <c r="AA457" s="12"/>
      <c r="AB457" s="12"/>
      <c r="AC457" s="12"/>
      <c r="AD457" s="12"/>
      <c r="AE457" s="12"/>
      <c r="AF457" s="12"/>
      <c r="AG457" s="12"/>
      <c r="AH457" s="12"/>
      <c r="AI457" s="12"/>
    </row>
    <row r="458" spans="1:35" s="10" customFormat="1" x14ac:dyDescent="0.25">
      <c r="A458" s="12"/>
      <c r="B458" s="12"/>
      <c r="C458" s="12"/>
      <c r="D458"/>
      <c r="E458"/>
      <c r="F458"/>
      <c r="G458" s="3"/>
      <c r="H458" s="3"/>
      <c r="I458" s="3"/>
      <c r="J458" s="3"/>
      <c r="K458"/>
      <c r="L458"/>
      <c r="M458"/>
      <c r="N458" s="3"/>
      <c r="O458" s="3"/>
      <c r="P458" s="3"/>
      <c r="Q458" s="3"/>
      <c r="R458" s="3"/>
      <c r="S458"/>
      <c r="T458"/>
      <c r="U458"/>
      <c r="V458"/>
      <c r="W458" s="12"/>
      <c r="X458" s="12"/>
      <c r="Y458" s="12"/>
      <c r="Z458" s="12"/>
      <c r="AA458" s="12"/>
      <c r="AB458" s="12"/>
      <c r="AC458" s="12"/>
      <c r="AD458" s="12"/>
      <c r="AE458" s="12"/>
      <c r="AF458" s="12"/>
      <c r="AG458" s="12"/>
      <c r="AH458" s="12"/>
      <c r="AI458" s="12"/>
    </row>
    <row r="459" spans="1:35" s="10" customFormat="1" x14ac:dyDescent="0.25">
      <c r="A459" s="12"/>
      <c r="B459" s="12"/>
      <c r="C459" s="12"/>
      <c r="D459"/>
      <c r="E459"/>
      <c r="F459"/>
      <c r="G459" s="3"/>
      <c r="H459" s="3"/>
      <c r="I459" s="3"/>
      <c r="J459" s="3"/>
      <c r="K459"/>
      <c r="L459"/>
      <c r="M459"/>
      <c r="N459" s="3"/>
      <c r="O459" s="3"/>
      <c r="P459" s="3"/>
      <c r="Q459" s="3"/>
      <c r="R459" s="3"/>
      <c r="S459"/>
      <c r="T459"/>
      <c r="U459"/>
      <c r="V459"/>
      <c r="W459" s="12"/>
      <c r="X459" s="12"/>
      <c r="Y459" s="12"/>
      <c r="Z459" s="12"/>
      <c r="AA459" s="12"/>
      <c r="AB459" s="12"/>
      <c r="AC459" s="12"/>
      <c r="AD459" s="12"/>
      <c r="AE459" s="12"/>
      <c r="AF459" s="12"/>
      <c r="AG459" s="12"/>
      <c r="AH459" s="12"/>
      <c r="AI459" s="12"/>
    </row>
    <row r="460" spans="1:35" s="10" customFormat="1" x14ac:dyDescent="0.25">
      <c r="A460" s="12"/>
      <c r="B460" s="12"/>
      <c r="C460" s="12"/>
      <c r="D460"/>
      <c r="E460"/>
      <c r="F460"/>
      <c r="G460" s="3"/>
      <c r="H460" s="3"/>
      <c r="I460" s="3"/>
      <c r="J460" s="3"/>
      <c r="K460"/>
      <c r="L460"/>
      <c r="M460"/>
      <c r="N460" s="3"/>
      <c r="O460" s="3"/>
      <c r="P460" s="3"/>
      <c r="Q460" s="3"/>
      <c r="R460" s="3"/>
      <c r="S460"/>
      <c r="T460"/>
      <c r="U460"/>
      <c r="V460"/>
      <c r="W460" s="12"/>
      <c r="X460" s="12"/>
      <c r="Y460" s="12"/>
      <c r="Z460" s="12"/>
      <c r="AA460" s="12"/>
      <c r="AB460" s="12"/>
      <c r="AC460" s="12"/>
      <c r="AD460" s="12"/>
      <c r="AE460" s="12"/>
      <c r="AF460" s="12"/>
      <c r="AG460" s="12"/>
      <c r="AH460" s="12"/>
      <c r="AI460" s="12"/>
    </row>
    <row r="461" spans="1:35" s="10" customFormat="1" x14ac:dyDescent="0.25">
      <c r="A461" s="12"/>
      <c r="B461" s="12"/>
      <c r="C461" s="12"/>
      <c r="D461"/>
      <c r="E461"/>
      <c r="F461"/>
      <c r="G461" s="3"/>
      <c r="H461" s="3"/>
      <c r="I461" s="3"/>
      <c r="J461" s="3"/>
      <c r="K461"/>
      <c r="L461"/>
      <c r="M461"/>
      <c r="N461" s="3"/>
      <c r="O461" s="3"/>
      <c r="P461" s="3"/>
      <c r="Q461" s="3"/>
      <c r="R461" s="3"/>
      <c r="S461"/>
      <c r="T461"/>
      <c r="U461"/>
      <c r="V461"/>
      <c r="W461" s="12"/>
      <c r="X461" s="12"/>
      <c r="Y461" s="12"/>
      <c r="Z461" s="12"/>
      <c r="AA461" s="12"/>
      <c r="AB461" s="12"/>
      <c r="AC461" s="12"/>
      <c r="AD461" s="12"/>
      <c r="AE461" s="12"/>
      <c r="AF461" s="12"/>
      <c r="AG461" s="12"/>
      <c r="AH461" s="12"/>
      <c r="AI461" s="12"/>
    </row>
    <row r="462" spans="1:35" s="10" customFormat="1" x14ac:dyDescent="0.25">
      <c r="A462" s="12"/>
      <c r="B462" s="12"/>
      <c r="C462" s="12"/>
      <c r="D462"/>
      <c r="E462"/>
      <c r="F462"/>
      <c r="G462" s="3"/>
      <c r="H462" s="3"/>
      <c r="I462" s="3"/>
      <c r="J462" s="3"/>
      <c r="K462"/>
      <c r="L462"/>
      <c r="M462"/>
      <c r="N462" s="3"/>
      <c r="O462" s="3"/>
      <c r="P462" s="3"/>
      <c r="Q462" s="3"/>
      <c r="R462" s="3"/>
      <c r="S462"/>
      <c r="T462"/>
      <c r="U462"/>
      <c r="V462"/>
      <c r="W462" s="12"/>
      <c r="X462" s="12"/>
      <c r="Y462" s="12"/>
      <c r="Z462" s="12"/>
      <c r="AA462" s="12"/>
      <c r="AB462" s="12"/>
      <c r="AC462" s="12"/>
      <c r="AD462" s="12"/>
      <c r="AE462" s="12"/>
      <c r="AF462" s="12"/>
      <c r="AG462" s="12"/>
      <c r="AH462" s="12"/>
      <c r="AI462" s="12"/>
    </row>
    <row r="463" spans="1:35" s="10" customFormat="1" x14ac:dyDescent="0.25">
      <c r="A463" s="12"/>
      <c r="B463" s="12"/>
      <c r="C463" s="12"/>
      <c r="D463"/>
      <c r="E463"/>
      <c r="F463"/>
      <c r="G463" s="3"/>
      <c r="H463" s="3"/>
      <c r="I463" s="3"/>
      <c r="J463" s="3"/>
      <c r="K463"/>
      <c r="L463"/>
      <c r="M463"/>
      <c r="N463" s="3"/>
      <c r="O463" s="3"/>
      <c r="P463" s="3"/>
      <c r="Q463" s="3"/>
      <c r="R463" s="3"/>
      <c r="S463"/>
      <c r="T463"/>
      <c r="U463"/>
      <c r="V463"/>
      <c r="W463" s="12"/>
      <c r="X463" s="12"/>
      <c r="Y463" s="12"/>
      <c r="Z463" s="12"/>
      <c r="AA463" s="12"/>
      <c r="AB463" s="12"/>
      <c r="AC463" s="12"/>
      <c r="AD463" s="12"/>
      <c r="AE463" s="12"/>
      <c r="AF463" s="12"/>
      <c r="AG463" s="12"/>
      <c r="AH463" s="12"/>
      <c r="AI463" s="12"/>
    </row>
    <row r="464" spans="1:35" s="10" customFormat="1" x14ac:dyDescent="0.25">
      <c r="A464" s="12"/>
      <c r="B464" s="12"/>
      <c r="C464" s="12"/>
      <c r="D464"/>
      <c r="E464"/>
      <c r="F464"/>
      <c r="G464" s="3"/>
      <c r="H464" s="3"/>
      <c r="I464" s="3"/>
      <c r="J464" s="3"/>
      <c r="K464"/>
      <c r="L464"/>
      <c r="M464"/>
      <c r="N464" s="3"/>
      <c r="O464" s="3"/>
      <c r="P464" s="3"/>
      <c r="Q464" s="3"/>
      <c r="R464" s="3"/>
      <c r="S464"/>
      <c r="T464"/>
      <c r="U464"/>
      <c r="V464"/>
      <c r="W464" s="12"/>
      <c r="X464" s="12"/>
      <c r="Y464" s="12"/>
      <c r="Z464" s="12"/>
      <c r="AA464" s="12"/>
      <c r="AB464" s="12"/>
      <c r="AC464" s="12"/>
      <c r="AD464" s="12"/>
      <c r="AE464" s="12"/>
      <c r="AF464" s="12"/>
      <c r="AG464" s="12"/>
      <c r="AH464" s="12"/>
      <c r="AI464" s="12"/>
    </row>
    <row r="465" spans="1:35" s="10" customFormat="1" x14ac:dyDescent="0.25">
      <c r="A465" s="12"/>
      <c r="B465" s="12"/>
      <c r="C465" s="12"/>
      <c r="D465"/>
      <c r="E465"/>
      <c r="F465"/>
      <c r="G465" s="3"/>
      <c r="H465" s="3"/>
      <c r="I465" s="3"/>
      <c r="J465" s="3"/>
      <c r="K465"/>
      <c r="L465"/>
      <c r="M465"/>
      <c r="N465" s="3"/>
      <c r="O465" s="3"/>
      <c r="P465" s="3"/>
      <c r="Q465" s="3"/>
      <c r="R465" s="3"/>
      <c r="S465"/>
      <c r="T465"/>
      <c r="U465"/>
      <c r="V465"/>
      <c r="W465" s="12"/>
      <c r="X465" s="12"/>
      <c r="Y465" s="12"/>
      <c r="Z465" s="12"/>
      <c r="AA465" s="12"/>
      <c r="AB465" s="12"/>
      <c r="AC465" s="12"/>
      <c r="AD465" s="12"/>
      <c r="AE465" s="12"/>
      <c r="AF465" s="12"/>
      <c r="AG465" s="12"/>
      <c r="AH465" s="12"/>
      <c r="AI465" s="12"/>
    </row>
    <row r="466" spans="1:35" s="10" customFormat="1" x14ac:dyDescent="0.25">
      <c r="A466" s="12"/>
      <c r="B466" s="12"/>
      <c r="C466" s="12"/>
      <c r="D466"/>
      <c r="E466"/>
      <c r="F466"/>
      <c r="G466" s="3"/>
      <c r="H466" s="3"/>
      <c r="I466" s="3"/>
      <c r="J466" s="3"/>
      <c r="K466"/>
      <c r="L466"/>
      <c r="M466"/>
      <c r="N466" s="3"/>
      <c r="O466" s="3"/>
      <c r="P466" s="3"/>
      <c r="Q466" s="3"/>
      <c r="R466" s="3"/>
      <c r="S466"/>
      <c r="T466"/>
      <c r="U466"/>
      <c r="V466"/>
      <c r="W466" s="12"/>
      <c r="X466" s="12"/>
      <c r="Y466" s="12"/>
      <c r="Z466" s="12"/>
      <c r="AA466" s="12"/>
      <c r="AB466" s="12"/>
      <c r="AC466" s="12"/>
      <c r="AD466" s="12"/>
      <c r="AE466" s="12"/>
      <c r="AF466" s="12"/>
      <c r="AG466" s="12"/>
      <c r="AH466" s="12"/>
      <c r="AI466" s="12"/>
    </row>
    <row r="467" spans="1:35" s="10" customFormat="1" x14ac:dyDescent="0.25">
      <c r="A467" s="12"/>
      <c r="B467" s="12"/>
      <c r="C467" s="12"/>
      <c r="D467"/>
      <c r="E467"/>
      <c r="F467"/>
      <c r="G467" s="3"/>
      <c r="H467" s="3"/>
      <c r="I467" s="3"/>
      <c r="J467" s="3"/>
      <c r="K467"/>
      <c r="L467"/>
      <c r="M467"/>
      <c r="N467" s="3"/>
      <c r="O467" s="3"/>
      <c r="P467" s="3"/>
      <c r="Q467" s="3"/>
      <c r="R467" s="3"/>
      <c r="S467"/>
      <c r="T467"/>
      <c r="U467"/>
      <c r="V467"/>
      <c r="W467" s="12"/>
      <c r="X467" s="12"/>
      <c r="Y467" s="12"/>
      <c r="Z467" s="12"/>
      <c r="AA467" s="12"/>
      <c r="AB467" s="12"/>
      <c r="AC467" s="12"/>
      <c r="AD467" s="12"/>
      <c r="AE467" s="12"/>
      <c r="AF467" s="12"/>
      <c r="AG467" s="12"/>
      <c r="AH467" s="12"/>
      <c r="AI467" s="12"/>
    </row>
    <row r="468" spans="1:35" s="10" customFormat="1" x14ac:dyDescent="0.25">
      <c r="A468" s="12"/>
      <c r="B468" s="12"/>
      <c r="C468" s="12"/>
      <c r="D468"/>
      <c r="E468"/>
      <c r="F468"/>
      <c r="G468" s="3"/>
      <c r="H468" s="3"/>
      <c r="I468" s="3"/>
      <c r="J468" s="3"/>
      <c r="K468"/>
      <c r="L468"/>
      <c r="M468"/>
      <c r="N468" s="3"/>
      <c r="O468" s="3"/>
      <c r="P468" s="3"/>
      <c r="Q468" s="3"/>
      <c r="R468" s="3"/>
      <c r="S468"/>
      <c r="T468"/>
      <c r="U468"/>
      <c r="V468"/>
      <c r="W468" s="12"/>
      <c r="X468" s="12"/>
      <c r="Y468" s="12"/>
      <c r="Z468" s="12"/>
      <c r="AA468" s="12"/>
      <c r="AB468" s="12"/>
      <c r="AC468" s="12"/>
      <c r="AD468" s="12"/>
      <c r="AE468" s="12"/>
      <c r="AF468" s="12"/>
      <c r="AG468" s="12"/>
      <c r="AH468" s="12"/>
      <c r="AI468" s="12"/>
    </row>
    <row r="469" spans="1:35" s="10" customFormat="1" x14ac:dyDescent="0.25">
      <c r="A469" s="12"/>
      <c r="B469" s="12"/>
      <c r="C469" s="12"/>
      <c r="D469" s="15"/>
      <c r="E469"/>
      <c r="F469"/>
      <c r="G469" s="3"/>
      <c r="H469" s="3"/>
      <c r="I469" s="3"/>
      <c r="J469" s="3"/>
      <c r="K469"/>
      <c r="L469"/>
      <c r="M469"/>
      <c r="N469" s="3"/>
      <c r="O469" s="3"/>
      <c r="P469" s="3"/>
      <c r="Q469" s="3"/>
      <c r="R469" s="3"/>
      <c r="S469"/>
      <c r="T469"/>
      <c r="U469" s="12"/>
      <c r="V469" s="12"/>
      <c r="W469" s="12"/>
      <c r="X469" s="12"/>
      <c r="Y469" s="12"/>
      <c r="Z469" s="12"/>
      <c r="AA469" s="12"/>
      <c r="AB469" s="12"/>
      <c r="AC469" s="12"/>
      <c r="AD469" s="12"/>
      <c r="AE469" s="12"/>
      <c r="AF469" s="12"/>
      <c r="AG469" s="12"/>
      <c r="AH469" s="12"/>
      <c r="AI469" s="12"/>
    </row>
    <row r="470" spans="1:35" s="10" customFormat="1" x14ac:dyDescent="0.25">
      <c r="A470" s="12"/>
      <c r="B470" s="12"/>
      <c r="C470" s="12"/>
      <c r="D470" s="15"/>
      <c r="E470"/>
      <c r="F470"/>
      <c r="G470" s="3"/>
      <c r="H470" s="3"/>
      <c r="I470" s="3"/>
      <c r="J470" s="3"/>
      <c r="K470"/>
      <c r="L470"/>
      <c r="M470"/>
      <c r="N470" s="3"/>
      <c r="O470" s="3"/>
      <c r="P470" s="3"/>
      <c r="Q470" s="3"/>
      <c r="R470" s="3"/>
      <c r="S470"/>
      <c r="T470"/>
      <c r="U470" s="12"/>
      <c r="V470" s="12"/>
      <c r="W470" s="12"/>
      <c r="X470" s="12"/>
      <c r="Y470" s="12"/>
      <c r="Z470" s="12"/>
      <c r="AA470" s="12"/>
      <c r="AB470" s="12"/>
      <c r="AC470" s="12"/>
      <c r="AD470" s="12"/>
      <c r="AE470" s="12"/>
      <c r="AF470" s="12"/>
      <c r="AG470" s="12"/>
      <c r="AH470" s="12"/>
      <c r="AI470" s="12"/>
    </row>
    <row r="471" spans="1:35" s="10" customFormat="1" x14ac:dyDescent="0.25">
      <c r="A471" s="12"/>
      <c r="B471" s="12"/>
      <c r="C471" s="12"/>
      <c r="D471" s="15"/>
      <c r="E471"/>
      <c r="F471"/>
      <c r="G471" s="3"/>
      <c r="H471" s="3"/>
      <c r="I471" s="3"/>
      <c r="J471" s="3"/>
      <c r="K471"/>
      <c r="L471"/>
      <c r="M471"/>
      <c r="N471" s="3"/>
      <c r="O471" s="3"/>
      <c r="P471" s="3"/>
      <c r="Q471" s="3"/>
      <c r="R471" s="3"/>
      <c r="S471"/>
      <c r="T471"/>
      <c r="U471" s="12"/>
      <c r="V471" s="12"/>
      <c r="W471" s="12"/>
      <c r="X471" s="12"/>
      <c r="Y471" s="12"/>
      <c r="Z471" s="12"/>
      <c r="AA471" s="12"/>
      <c r="AB471" s="12"/>
      <c r="AC471" s="12"/>
      <c r="AD471" s="12"/>
      <c r="AE471" s="12"/>
      <c r="AF471" s="12"/>
      <c r="AG471" s="12"/>
      <c r="AH471" s="12"/>
      <c r="AI471" s="12"/>
    </row>
    <row r="472" spans="1:35" s="10" customFormat="1" x14ac:dyDescent="0.25">
      <c r="A472" s="12"/>
      <c r="B472" s="12"/>
      <c r="C472" s="12"/>
      <c r="D472" s="12"/>
      <c r="E472"/>
      <c r="F472"/>
      <c r="G472" s="3"/>
      <c r="H472" s="3"/>
      <c r="I472" s="3"/>
      <c r="J472" s="3"/>
      <c r="K472"/>
      <c r="L472"/>
      <c r="M472"/>
      <c r="N472" s="3"/>
      <c r="O472" s="3"/>
      <c r="P472" s="3"/>
      <c r="Q472" s="3"/>
      <c r="R472" s="3"/>
      <c r="S472"/>
      <c r="T472"/>
      <c r="U472" s="12"/>
      <c r="V472" s="12"/>
      <c r="W472" s="12"/>
      <c r="X472" s="12"/>
      <c r="Y472" s="12"/>
      <c r="Z472" s="12"/>
      <c r="AA472" s="12"/>
      <c r="AB472" s="12"/>
      <c r="AC472" s="12"/>
      <c r="AD472" s="12"/>
      <c r="AE472" s="12"/>
      <c r="AF472" s="12"/>
      <c r="AG472" s="12"/>
      <c r="AH472" s="12"/>
      <c r="AI472" s="12"/>
    </row>
    <row r="473" spans="1:35" s="10" customFormat="1" x14ac:dyDescent="0.25">
      <c r="A473" s="12"/>
      <c r="B473" s="12"/>
      <c r="C473" s="12"/>
      <c r="D473" s="12"/>
      <c r="E473"/>
      <c r="F473"/>
      <c r="G473" s="3"/>
      <c r="H473" s="3"/>
      <c r="I473" s="3"/>
      <c r="J473" s="3"/>
      <c r="K473"/>
      <c r="L473"/>
      <c r="M473"/>
      <c r="N473" s="3"/>
      <c r="O473" s="3"/>
      <c r="P473" s="3"/>
      <c r="Q473" s="3"/>
      <c r="R473" s="3"/>
      <c r="S473"/>
      <c r="T473"/>
      <c r="U473" s="12"/>
      <c r="V473" s="12"/>
      <c r="W473" s="12"/>
      <c r="X473" s="12"/>
      <c r="Y473" s="12"/>
      <c r="Z473" s="12"/>
      <c r="AA473" s="12"/>
      <c r="AB473" s="12"/>
      <c r="AC473" s="12"/>
      <c r="AD473" s="12"/>
      <c r="AE473" s="12"/>
      <c r="AF473" s="12"/>
      <c r="AG473" s="12"/>
      <c r="AH473" s="12"/>
      <c r="AI473" s="12"/>
    </row>
    <row r="474" spans="1:35" s="10" customFormat="1" x14ac:dyDescent="0.25">
      <c r="A474" s="12"/>
      <c r="B474" s="12"/>
      <c r="C474" s="12"/>
      <c r="D474" s="12"/>
      <c r="E474" s="12"/>
      <c r="G474" s="14"/>
      <c r="H474" s="17"/>
      <c r="I474" s="14"/>
      <c r="M474" s="12"/>
      <c r="T474" s="12"/>
      <c r="U474" s="12"/>
      <c r="V474" s="12"/>
      <c r="W474" s="12"/>
      <c r="X474" s="12"/>
      <c r="Y474" s="12"/>
      <c r="Z474" s="12"/>
      <c r="AA474" s="12"/>
      <c r="AB474" s="12"/>
      <c r="AC474" s="12"/>
      <c r="AD474" s="12"/>
      <c r="AE474" s="12"/>
      <c r="AF474" s="12"/>
      <c r="AG474" s="12"/>
      <c r="AH474" s="12"/>
      <c r="AI474" s="12"/>
    </row>
    <row r="475" spans="1:35" s="10" customFormat="1" x14ac:dyDescent="0.25">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25">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77" spans="1:35" s="10" customFormat="1" x14ac:dyDescent="0.25">
      <c r="A477" s="12"/>
      <c r="B477" s="12"/>
      <c r="C477" s="12"/>
      <c r="D477" s="12"/>
      <c r="E477" s="12"/>
      <c r="G477" s="14"/>
      <c r="H477" s="17"/>
      <c r="I477" s="14"/>
      <c r="M477" s="12"/>
      <c r="T477" s="12"/>
      <c r="U477" s="12"/>
      <c r="V477" s="12"/>
      <c r="W477" s="12"/>
      <c r="X477" s="12"/>
      <c r="Y477" s="12"/>
      <c r="Z477" s="12"/>
      <c r="AA477" s="12"/>
      <c r="AB477" s="12"/>
      <c r="AC477" s="12"/>
      <c r="AD477" s="12"/>
      <c r="AE477" s="12"/>
      <c r="AF477" s="12"/>
      <c r="AG477" s="12"/>
      <c r="AH477" s="12"/>
      <c r="AI477" s="12"/>
    </row>
    <row r="478" spans="1:35" s="10" customFormat="1" x14ac:dyDescent="0.25">
      <c r="A478" s="12"/>
      <c r="B478" s="12"/>
      <c r="C478" s="12"/>
      <c r="D478" s="12"/>
      <c r="E478" s="12"/>
      <c r="G478" s="14"/>
      <c r="H478" s="17"/>
      <c r="I478" s="14"/>
      <c r="M478" s="12"/>
      <c r="T478" s="12"/>
      <c r="U478" s="12"/>
      <c r="V478" s="12"/>
      <c r="W478" s="12"/>
      <c r="X478" s="12"/>
      <c r="Y478" s="12"/>
      <c r="Z478" s="12"/>
      <c r="AA478" s="12"/>
      <c r="AB478" s="12"/>
      <c r="AC478" s="12"/>
      <c r="AD478" s="12"/>
      <c r="AE478" s="12"/>
      <c r="AF478" s="12"/>
      <c r="AG478" s="12"/>
      <c r="AH478" s="12"/>
      <c r="AI478" s="12"/>
    </row>
    <row r="479" spans="1:35" s="10" customFormat="1" x14ac:dyDescent="0.25">
      <c r="A479" s="12"/>
      <c r="B479" s="12"/>
      <c r="C479" s="12"/>
      <c r="D479" s="12"/>
      <c r="E479" s="12"/>
      <c r="G479" s="14"/>
      <c r="H479" s="17"/>
      <c r="I479" s="14"/>
      <c r="M479" s="12"/>
      <c r="T479" s="12"/>
      <c r="U479" s="12"/>
      <c r="V479" s="12"/>
      <c r="W479" s="12"/>
      <c r="X479" s="12"/>
      <c r="Y479" s="12"/>
      <c r="Z479" s="12"/>
      <c r="AA479" s="12"/>
      <c r="AB479" s="12"/>
      <c r="AC479" s="12"/>
      <c r="AD479" s="12"/>
      <c r="AE479" s="12"/>
      <c r="AF479" s="12"/>
      <c r="AG479" s="12"/>
      <c r="AH479" s="12"/>
      <c r="AI479" s="12"/>
    </row>
    <row r="480" spans="1:35" s="10" customFormat="1" x14ac:dyDescent="0.25">
      <c r="A480" s="12"/>
      <c r="B480" s="12"/>
      <c r="C480" s="12"/>
      <c r="D480" s="12"/>
      <c r="E480" s="12"/>
      <c r="G480" s="14"/>
      <c r="H480" s="17"/>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25">
      <c r="A481" s="12"/>
      <c r="B481" s="12"/>
      <c r="C481" s="12"/>
      <c r="D481" s="12"/>
      <c r="E481" s="12"/>
      <c r="G481" s="14"/>
      <c r="H481" s="17"/>
      <c r="I481" s="14"/>
      <c r="M481" s="12"/>
      <c r="T481" s="12"/>
      <c r="U481" s="12"/>
      <c r="V481" s="12"/>
      <c r="W481" s="12"/>
      <c r="X481" s="12"/>
      <c r="Y481" s="12"/>
      <c r="Z481" s="12"/>
      <c r="AA481" s="12"/>
      <c r="AB481" s="12"/>
      <c r="AC481" s="12"/>
      <c r="AD481" s="12"/>
      <c r="AE481" s="12"/>
      <c r="AF481" s="12"/>
      <c r="AG481" s="12"/>
      <c r="AH481" s="12"/>
      <c r="AI481" s="12"/>
    </row>
    <row r="482" spans="1:35" s="10" customFormat="1" x14ac:dyDescent="0.25">
      <c r="A482" s="12"/>
      <c r="B482" s="12"/>
      <c r="C482" s="12"/>
      <c r="D482" s="12"/>
      <c r="E482" s="12"/>
      <c r="G482" s="14"/>
      <c r="H482" s="17"/>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25">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25">
      <c r="A484" s="12"/>
      <c r="B484" s="12"/>
      <c r="C484" s="12"/>
      <c r="D484" s="12"/>
      <c r="E484" s="12"/>
      <c r="G484" s="14"/>
      <c r="H484" s="17"/>
      <c r="I484" s="14"/>
      <c r="M484" s="12"/>
      <c r="T484" s="12"/>
      <c r="U484" s="12"/>
      <c r="V484" s="12"/>
      <c r="W484" s="12"/>
      <c r="X484" s="12"/>
      <c r="Y484" s="12"/>
      <c r="Z484" s="12"/>
      <c r="AA484" s="12"/>
      <c r="AB484" s="12"/>
      <c r="AC484" s="12"/>
      <c r="AD484" s="12"/>
      <c r="AE484" s="12"/>
      <c r="AF484" s="12"/>
      <c r="AG484" s="12"/>
      <c r="AH484" s="12"/>
      <c r="AI484" s="12"/>
    </row>
    <row r="485" spans="1:35" s="10" customFormat="1" x14ac:dyDescent="0.25">
      <c r="A485" s="12"/>
      <c r="B485" s="12"/>
      <c r="C485" s="12"/>
      <c r="D485" s="12"/>
      <c r="E485" s="12"/>
      <c r="G485" s="14"/>
      <c r="H485" s="17"/>
      <c r="I485" s="14"/>
      <c r="M485" s="12"/>
      <c r="T485" s="12"/>
      <c r="U485" s="12"/>
      <c r="V485" s="12"/>
      <c r="W485" s="12"/>
      <c r="X485" s="12"/>
      <c r="Y485" s="12"/>
      <c r="Z485" s="12"/>
      <c r="AA485" s="12"/>
      <c r="AB485" s="12"/>
      <c r="AC485" s="12"/>
      <c r="AD485" s="12"/>
      <c r="AE485" s="12"/>
      <c r="AF485" s="12"/>
      <c r="AG485" s="12"/>
      <c r="AH485" s="12"/>
      <c r="AI485" s="12"/>
    </row>
    <row r="486" spans="1:35" s="10" customFormat="1" x14ac:dyDescent="0.25">
      <c r="A486" s="12"/>
      <c r="B486" s="12"/>
      <c r="C486" s="12"/>
      <c r="D486" s="12"/>
      <c r="E486" s="12"/>
      <c r="G486" s="14"/>
      <c r="H486" s="17"/>
      <c r="I486" s="14"/>
      <c r="M486" s="12"/>
      <c r="T486" s="12"/>
      <c r="U486" s="12"/>
      <c r="V486" s="12"/>
      <c r="W486" s="12"/>
      <c r="X486" s="12"/>
      <c r="Y486" s="12"/>
      <c r="Z486" s="12"/>
      <c r="AA486" s="12"/>
      <c r="AB486" s="12"/>
      <c r="AC486" s="12"/>
      <c r="AD486" s="12"/>
      <c r="AE486" s="12"/>
      <c r="AF486" s="12"/>
      <c r="AG486" s="12"/>
      <c r="AH486" s="12"/>
      <c r="AI486" s="12"/>
    </row>
    <row r="487" spans="1:35" s="10" customFormat="1" x14ac:dyDescent="0.25">
      <c r="A487" s="12"/>
      <c r="B487" s="12"/>
      <c r="C487" s="12"/>
      <c r="D487" s="12"/>
      <c r="E487" s="12"/>
      <c r="G487" s="14"/>
      <c r="H487" s="17"/>
      <c r="I487" s="14"/>
      <c r="M487" s="12"/>
      <c r="T487" s="12"/>
      <c r="U487" s="12"/>
      <c r="V487" s="12"/>
      <c r="W487" s="12"/>
      <c r="X487" s="12"/>
      <c r="Y487" s="12"/>
      <c r="Z487" s="12"/>
      <c r="AA487" s="12"/>
      <c r="AB487" s="12"/>
      <c r="AC487" s="12"/>
      <c r="AD487" s="12"/>
      <c r="AE487" s="12"/>
      <c r="AF487" s="12"/>
      <c r="AG487" s="12"/>
      <c r="AH487" s="12"/>
      <c r="AI487" s="12"/>
    </row>
    <row r="488" spans="1:35" s="10" customFormat="1" x14ac:dyDescent="0.25">
      <c r="A488" s="12"/>
      <c r="B488" s="12"/>
      <c r="C488" s="12"/>
      <c r="D488" s="12"/>
      <c r="E488" s="12"/>
      <c r="G488" s="14"/>
      <c r="H488" s="17"/>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25">
      <c r="A489" s="12"/>
      <c r="B489" s="12"/>
      <c r="C489" s="12"/>
      <c r="D489" s="12"/>
      <c r="E489" s="12"/>
      <c r="G489" s="14"/>
      <c r="H489" s="17"/>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25">
      <c r="A490" s="12"/>
      <c r="B490" s="12"/>
      <c r="C490" s="12"/>
      <c r="D490" s="12"/>
      <c r="E490" s="12"/>
      <c r="G490" s="14"/>
      <c r="H490" s="17"/>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25">
      <c r="A491" s="12"/>
      <c r="B491" s="12"/>
      <c r="C491" s="12"/>
      <c r="D491" s="12"/>
      <c r="E491" s="12"/>
      <c r="G491" s="14"/>
      <c r="H491" s="17"/>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25">
      <c r="A492" s="12"/>
      <c r="B492" s="12"/>
      <c r="C492" s="12"/>
      <c r="D492" s="12"/>
      <c r="E492" s="12"/>
      <c r="G492" s="14"/>
      <c r="H492" s="17"/>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25">
      <c r="A493" s="12"/>
      <c r="B493" s="12"/>
      <c r="C493" s="12"/>
      <c r="D493" s="12"/>
      <c r="E493" s="12"/>
      <c r="G493" s="14"/>
      <c r="H493" s="17"/>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25">
      <c r="A494" s="12"/>
      <c r="B494" s="12"/>
      <c r="C494" s="12"/>
      <c r="D494" s="12"/>
      <c r="E494" s="12"/>
      <c r="G494" s="14"/>
      <c r="H494" s="17"/>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25">
      <c r="A495" s="12"/>
      <c r="B495" s="12"/>
      <c r="C495" s="12"/>
      <c r="D495" s="12"/>
      <c r="E495" s="12"/>
      <c r="G495" s="14"/>
      <c r="H495" s="17"/>
      <c r="I495" s="14"/>
      <c r="M495" s="12"/>
      <c r="T495" s="12"/>
      <c r="U495" s="12"/>
      <c r="V495" s="12"/>
      <c r="W495" s="12"/>
      <c r="X495" s="12"/>
      <c r="Y495" s="12"/>
      <c r="Z495" s="12"/>
      <c r="AA495" s="12"/>
      <c r="AB495" s="12"/>
      <c r="AC495" s="12"/>
      <c r="AD495" s="12"/>
      <c r="AE495" s="12"/>
      <c r="AF495" s="12"/>
      <c r="AG495" s="12"/>
      <c r="AH495" s="12"/>
      <c r="AI495" s="12"/>
    </row>
    <row r="496" spans="1:35" s="10" customFormat="1" x14ac:dyDescent="0.25">
      <c r="A496" s="12"/>
      <c r="B496" s="12"/>
      <c r="C496" s="12"/>
      <c r="D496" s="12"/>
      <c r="E496" s="12"/>
      <c r="G496" s="14"/>
      <c r="H496" s="17"/>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25">
      <c r="A497" s="12"/>
      <c r="B497" s="12"/>
      <c r="C497" s="12"/>
      <c r="D497" s="12"/>
      <c r="E497" s="12"/>
      <c r="G497" s="14"/>
      <c r="H497" s="17"/>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25">
      <c r="A498" s="12"/>
      <c r="B498" s="12"/>
      <c r="C498" s="12"/>
      <c r="D498" s="12"/>
      <c r="E498" s="12"/>
      <c r="G498" s="14"/>
      <c r="H498" s="17"/>
      <c r="I498" s="14"/>
      <c r="M498" s="12"/>
      <c r="T498" s="12"/>
      <c r="U498" s="12"/>
      <c r="V498" s="12"/>
      <c r="W498" s="12"/>
      <c r="X498" s="12"/>
      <c r="Y498" s="12"/>
      <c r="Z498" s="12"/>
      <c r="AA498" s="12"/>
      <c r="AB498" s="12"/>
      <c r="AC498" s="12"/>
      <c r="AD498" s="12"/>
      <c r="AE498" s="12"/>
      <c r="AF498" s="12"/>
      <c r="AG498" s="12"/>
      <c r="AH498" s="12"/>
      <c r="AI498" s="12"/>
    </row>
    <row r="499" spans="1:35" s="10" customFormat="1" x14ac:dyDescent="0.25">
      <c r="A499" s="12"/>
      <c r="B499" s="12"/>
      <c r="C499" s="12"/>
      <c r="D499" s="12"/>
      <c r="E499" s="12"/>
      <c r="G499" s="14"/>
      <c r="H499" s="17"/>
      <c r="I499" s="14"/>
      <c r="M499" s="12"/>
      <c r="T499" s="12"/>
      <c r="U499" s="12"/>
      <c r="V499" s="12"/>
      <c r="W499" s="12"/>
      <c r="X499" s="12"/>
      <c r="Y499" s="12"/>
      <c r="Z499" s="12"/>
      <c r="AA499" s="12"/>
      <c r="AB499" s="12"/>
      <c r="AC499" s="12"/>
      <c r="AD499" s="12"/>
      <c r="AE499" s="12"/>
      <c r="AF499" s="12"/>
      <c r="AG499" s="12"/>
      <c r="AH499" s="12"/>
      <c r="AI499" s="12"/>
    </row>
    <row r="500" spans="1:35" s="10" customFormat="1" x14ac:dyDescent="0.25">
      <c r="A500" s="12"/>
      <c r="B500" s="12"/>
      <c r="C500" s="12"/>
      <c r="D500" s="12"/>
      <c r="E500" s="12"/>
      <c r="G500" s="14"/>
      <c r="H500" s="17"/>
      <c r="I500" s="14"/>
      <c r="M500" s="12"/>
      <c r="T500" s="12"/>
      <c r="U500" s="12"/>
      <c r="V500" s="12"/>
      <c r="W500" s="12"/>
      <c r="X500" s="12"/>
      <c r="Y500" s="12"/>
      <c r="Z500" s="12"/>
      <c r="AA500" s="12"/>
      <c r="AB500" s="12"/>
      <c r="AC500" s="12"/>
      <c r="AD500" s="12"/>
      <c r="AE500" s="12"/>
      <c r="AF500" s="12"/>
      <c r="AG500" s="12"/>
      <c r="AH500" s="12"/>
      <c r="AI500" s="12"/>
    </row>
    <row r="501" spans="1:35" s="10" customFormat="1" x14ac:dyDescent="0.25">
      <c r="A501" s="12"/>
      <c r="B501" s="12"/>
      <c r="C501" s="12"/>
      <c r="D501" s="12"/>
      <c r="E501" s="12"/>
      <c r="G501" s="14"/>
      <c r="H501" s="17"/>
      <c r="I501" s="14"/>
      <c r="M501" s="12"/>
      <c r="T501" s="12"/>
      <c r="U501" s="12"/>
      <c r="V501" s="12"/>
      <c r="W501" s="12"/>
      <c r="X501" s="12"/>
      <c r="Y501" s="12"/>
      <c r="Z501" s="12"/>
      <c r="AA501" s="12"/>
      <c r="AB501" s="12"/>
      <c r="AC501" s="12"/>
      <c r="AD501" s="12"/>
      <c r="AE501" s="12"/>
      <c r="AF501" s="12"/>
      <c r="AG501" s="12"/>
      <c r="AH501" s="12"/>
      <c r="AI501" s="12"/>
    </row>
    <row r="502" spans="1:35" s="10" customFormat="1" x14ac:dyDescent="0.25">
      <c r="A502" s="12"/>
      <c r="B502" s="12"/>
      <c r="C502" s="12"/>
      <c r="D502" s="12"/>
      <c r="E502" s="12"/>
      <c r="G502" s="14"/>
      <c r="H502" s="17"/>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25">
      <c r="A503" s="12"/>
      <c r="B503" s="12"/>
      <c r="C503" s="12"/>
      <c r="D503" s="12"/>
      <c r="E503" s="12"/>
      <c r="G503" s="14"/>
      <c r="H503" s="17"/>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25">
      <c r="A504" s="12"/>
      <c r="B504" s="12"/>
      <c r="C504" s="12"/>
      <c r="D504" s="12"/>
      <c r="E504" s="12"/>
      <c r="G504" s="14"/>
      <c r="H504" s="17"/>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25">
      <c r="A505" s="12"/>
      <c r="B505" s="12"/>
      <c r="C505" s="12"/>
      <c r="D505" s="12"/>
      <c r="E505" s="12"/>
      <c r="G505" s="14"/>
      <c r="H505" s="17"/>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25">
      <c r="A506" s="12"/>
      <c r="B506" s="12"/>
      <c r="C506" s="12"/>
      <c r="D506" s="12"/>
      <c r="E506" s="12"/>
      <c r="G506" s="14"/>
      <c r="H506" s="17"/>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25">
      <c r="A507" s="12"/>
      <c r="B507" s="12"/>
      <c r="C507" s="12"/>
      <c r="D507" s="12"/>
      <c r="E507" s="12"/>
      <c r="G507" s="14"/>
      <c r="H507" s="17"/>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25">
      <c r="A508" s="12"/>
      <c r="B508" s="12"/>
      <c r="C508" s="12"/>
      <c r="D508" s="12"/>
      <c r="E508" s="12"/>
      <c r="G508" s="14"/>
      <c r="H508" s="17"/>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25">
      <c r="A509" s="12"/>
      <c r="B509" s="12"/>
      <c r="C509" s="12"/>
      <c r="D509" s="12"/>
      <c r="E509" s="12"/>
      <c r="G509" s="14"/>
      <c r="H509" s="17"/>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25">
      <c r="A510" s="12"/>
      <c r="B510" s="12"/>
      <c r="C510" s="12"/>
      <c r="D510" s="12"/>
      <c r="E510" s="12"/>
      <c r="G510" s="14"/>
      <c r="H510" s="17"/>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25">
      <c r="A511" s="12"/>
      <c r="B511" s="12"/>
      <c r="C511" s="12"/>
      <c r="D511" s="12"/>
      <c r="E511" s="12"/>
      <c r="G511" s="14"/>
      <c r="H511" s="17"/>
      <c r="I511" s="14"/>
      <c r="M511" s="12"/>
      <c r="T511" s="12"/>
      <c r="U511" s="12"/>
      <c r="V511" s="12"/>
      <c r="W511" s="12"/>
      <c r="X511" s="12"/>
      <c r="Y511" s="12"/>
      <c r="Z511" s="12"/>
      <c r="AA511" s="12"/>
      <c r="AB511" s="12"/>
      <c r="AC511" s="12"/>
      <c r="AD511" s="12"/>
      <c r="AE511" s="12"/>
      <c r="AF511" s="12"/>
      <c r="AG511" s="12"/>
      <c r="AH511" s="12"/>
      <c r="AI511" s="12"/>
    </row>
    <row r="515" spans="1:35" s="10" customFormat="1" x14ac:dyDescent="0.25">
      <c r="A515" s="12"/>
      <c r="B515" s="12"/>
      <c r="C515" s="12"/>
      <c r="D515" s="12"/>
      <c r="E515" s="12"/>
      <c r="I515" s="14"/>
      <c r="M515" s="12"/>
      <c r="T515" s="12"/>
      <c r="U515" s="12"/>
      <c r="V515" s="12"/>
      <c r="W515" s="12"/>
      <c r="X515" s="12"/>
      <c r="Y515" s="12"/>
      <c r="Z515" s="12"/>
      <c r="AA515" s="12"/>
      <c r="AB515" s="12"/>
      <c r="AC515" s="12"/>
      <c r="AD515" s="12"/>
      <c r="AE515" s="12"/>
      <c r="AF515" s="12"/>
      <c r="AG515" s="12"/>
      <c r="AH515" s="12"/>
      <c r="AI515" s="12"/>
    </row>
    <row r="516" spans="1:35" s="10" customFormat="1" x14ac:dyDescent="0.25">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25">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25">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25">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25">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25">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25">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2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2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2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2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2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2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2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2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2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2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2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2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2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2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2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2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2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2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2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2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2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2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2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2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2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2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2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2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2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2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2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2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2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2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2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2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2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2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2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2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2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2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2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2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2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2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2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2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2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2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2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2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2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2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2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2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2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2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2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2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2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2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2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2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2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2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2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2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2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2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2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2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2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2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2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2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2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2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2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2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2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2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2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2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2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2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2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2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2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2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2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2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2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2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2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2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2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2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2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2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2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2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2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2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2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2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2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2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2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2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2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2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2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2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2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2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2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2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2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2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2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2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2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2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2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2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2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2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2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2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2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2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2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2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2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2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2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2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2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2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2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2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2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2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2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2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2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2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2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2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2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2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2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2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2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2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2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2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2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2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2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2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2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2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2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2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2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2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2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2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2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2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2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2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2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2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2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2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2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2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2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2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2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2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2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2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2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2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2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2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2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2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2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2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2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2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2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2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2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2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2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2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2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2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2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2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2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2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2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2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2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2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2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2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2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2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2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2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2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2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2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2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2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2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2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2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2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2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2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2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2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2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2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2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2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2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2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2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2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2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2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2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2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2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2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2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2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2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2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2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2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2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2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2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2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2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2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2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2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2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2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2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2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2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2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2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2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2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2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2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2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2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2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2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2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2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2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2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2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2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2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2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2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2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2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2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2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2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2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2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2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2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2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2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2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2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2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2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2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2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2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2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2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2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2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2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2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2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2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2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2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2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2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2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2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2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2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2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2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25">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3" spans="1:35" s="10" customFormat="1" x14ac:dyDescent="0.25">
      <c r="A843" s="12"/>
      <c r="B843" s="12"/>
      <c r="C843" s="12"/>
      <c r="D843" s="12"/>
      <c r="E843" s="12"/>
      <c r="I843" s="14"/>
      <c r="M843" s="12"/>
      <c r="T843" s="12"/>
      <c r="U843" s="12"/>
      <c r="V843" s="12"/>
      <c r="W843" s="12"/>
      <c r="X843" s="12"/>
      <c r="Y843" s="12"/>
      <c r="Z843" s="12"/>
      <c r="AA843" s="12"/>
      <c r="AB843" s="12"/>
      <c r="AC843" s="12"/>
      <c r="AD843" s="12"/>
      <c r="AE843" s="12"/>
      <c r="AF843" s="12"/>
      <c r="AG843" s="12"/>
      <c r="AH843" s="12"/>
      <c r="AI843" s="12"/>
    </row>
    <row r="844" spans="1:35" s="10" customFormat="1" x14ac:dyDescent="0.25">
      <c r="A844" s="12"/>
      <c r="B844" s="12"/>
      <c r="C844" s="12"/>
      <c r="D844" s="12"/>
      <c r="E844" s="12"/>
      <c r="I844" s="14"/>
      <c r="M844" s="12"/>
      <c r="T844" s="12"/>
      <c r="U844" s="12"/>
      <c r="V844" s="12"/>
      <c r="W844" s="12"/>
      <c r="X844" s="12"/>
      <c r="Y844" s="12"/>
      <c r="Z844" s="12"/>
      <c r="AA844" s="12"/>
      <c r="AB844" s="12"/>
      <c r="AC844" s="12"/>
      <c r="AD844" s="12"/>
      <c r="AE844" s="12"/>
      <c r="AF844" s="12"/>
      <c r="AG844" s="12"/>
      <c r="AH844" s="12"/>
      <c r="AI844" s="12"/>
    </row>
    <row r="845" spans="1:35" s="10" customFormat="1" x14ac:dyDescent="0.25">
      <c r="A845" s="12"/>
      <c r="B845" s="12"/>
      <c r="C845" s="12"/>
      <c r="D845" s="12"/>
      <c r="E845" s="12"/>
      <c r="I845" s="14"/>
      <c r="M845" s="12"/>
      <c r="T845" s="12"/>
      <c r="U845" s="12"/>
      <c r="V845" s="12"/>
      <c r="W845" s="12"/>
      <c r="X845" s="12"/>
      <c r="Y845" s="12"/>
      <c r="Z845" s="12"/>
      <c r="AA845" s="12"/>
      <c r="AB845" s="12"/>
      <c r="AC845" s="12"/>
      <c r="AD845" s="12"/>
      <c r="AE845" s="12"/>
      <c r="AF845" s="12"/>
      <c r="AG845" s="12"/>
      <c r="AH845" s="12"/>
      <c r="AI845" s="12"/>
    </row>
    <row r="846" spans="1:35" s="10" customFormat="1" x14ac:dyDescent="0.2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2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2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2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2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25">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25">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25">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4" spans="1:35" s="10" customFormat="1" x14ac:dyDescent="0.2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2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2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57" spans="1:35" s="10" customFormat="1" x14ac:dyDescent="0.25">
      <c r="A857" s="12"/>
      <c r="B857" s="12"/>
      <c r="C857" s="12"/>
      <c r="D857" s="12"/>
      <c r="E857" s="12"/>
      <c r="I857" s="14"/>
      <c r="M857" s="12"/>
      <c r="T857" s="12"/>
      <c r="U857" s="12"/>
      <c r="V857" s="12"/>
      <c r="W857" s="12"/>
      <c r="X857" s="12"/>
      <c r="Y857" s="12"/>
      <c r="Z857" s="12"/>
      <c r="AA857" s="12"/>
      <c r="AB857" s="12"/>
      <c r="AC857" s="12"/>
      <c r="AD857" s="12"/>
      <c r="AE857" s="12"/>
      <c r="AF857" s="12"/>
      <c r="AG857" s="12"/>
      <c r="AH857" s="12"/>
      <c r="AI857" s="12"/>
    </row>
    <row r="858" spans="1:35" s="10" customFormat="1" x14ac:dyDescent="0.25">
      <c r="A858" s="12"/>
      <c r="B858" s="12"/>
      <c r="C858" s="12"/>
      <c r="D858" s="12"/>
      <c r="E858" s="12"/>
      <c r="I858" s="14"/>
      <c r="M858" s="12"/>
      <c r="T858" s="12"/>
      <c r="U858" s="12"/>
      <c r="V858" s="12"/>
      <c r="W858" s="12"/>
      <c r="X858" s="12"/>
      <c r="Y858" s="12"/>
      <c r="Z858" s="12"/>
      <c r="AA858" s="12"/>
      <c r="AB858" s="12"/>
      <c r="AC858" s="12"/>
      <c r="AD858" s="12"/>
      <c r="AE858" s="12"/>
      <c r="AF858" s="12"/>
      <c r="AG858" s="12"/>
      <c r="AH858" s="12"/>
      <c r="AI858" s="12"/>
    </row>
    <row r="859" spans="1:35" s="10" customFormat="1" x14ac:dyDescent="0.25">
      <c r="A859" s="12"/>
      <c r="B859" s="12"/>
      <c r="C859" s="12"/>
      <c r="D859" s="12"/>
      <c r="E859" s="12"/>
      <c r="I859" s="14"/>
      <c r="M859" s="12"/>
      <c r="T859" s="12"/>
      <c r="U859" s="12"/>
      <c r="V859" s="12"/>
      <c r="W859" s="12"/>
      <c r="X859" s="12"/>
      <c r="Y859" s="12"/>
      <c r="Z859" s="12"/>
      <c r="AA859" s="12"/>
      <c r="AB859" s="12"/>
      <c r="AC859" s="12"/>
      <c r="AD859" s="12"/>
      <c r="AE859" s="12"/>
      <c r="AF859" s="12"/>
      <c r="AG859" s="12"/>
      <c r="AH859" s="12"/>
      <c r="AI859" s="12"/>
    </row>
    <row r="860" spans="1:35" s="10" customFormat="1" x14ac:dyDescent="0.2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2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2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2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2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2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2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2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2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2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3" spans="1:35" s="10" customFormat="1" x14ac:dyDescent="0.25">
      <c r="A873" s="12"/>
      <c r="B873" s="12"/>
      <c r="C873" s="12"/>
      <c r="D873" s="12"/>
      <c r="E873" s="12"/>
      <c r="I873" s="14"/>
      <c r="M873" s="12"/>
      <c r="T873" s="12"/>
      <c r="U873" s="12"/>
      <c r="V873" s="12"/>
      <c r="W873" s="12"/>
      <c r="X873" s="12"/>
      <c r="Y873" s="12"/>
      <c r="Z873" s="12"/>
      <c r="AA873" s="12"/>
      <c r="AB873" s="12"/>
      <c r="AC873" s="12"/>
      <c r="AD873" s="12"/>
      <c r="AE873" s="12"/>
      <c r="AF873" s="12"/>
      <c r="AG873" s="12"/>
      <c r="AH873" s="12"/>
      <c r="AI873" s="12"/>
    </row>
    <row r="874" spans="1:35" s="10" customFormat="1" x14ac:dyDescent="0.2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2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2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2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2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25">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25">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2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2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2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2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2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2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2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2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2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2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2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2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2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2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2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2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2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2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2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2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2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2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2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2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2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2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2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2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2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2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2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2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2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2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2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2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2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2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2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2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2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2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2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2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2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2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2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2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2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2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2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2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2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2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2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2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2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2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2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2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2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2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2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2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2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2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2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2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2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2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2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2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2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2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2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2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2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2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2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2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2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2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2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2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2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2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2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2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2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2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2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2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2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2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2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2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2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2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2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2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2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2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2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2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2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2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2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2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2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2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2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2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2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2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2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2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2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2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2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2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2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2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2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2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2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2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2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2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2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2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2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2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2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2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2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2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2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2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2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2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2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2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2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2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2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2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2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2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2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2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2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2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2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2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2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2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2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2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2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2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2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2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2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2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2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2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2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2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2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2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2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2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2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2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2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2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2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2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2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2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2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2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2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2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2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2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2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2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2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2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2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2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2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2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2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2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2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2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2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2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2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2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2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2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2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2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2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2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2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2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2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2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2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2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2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2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2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2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2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2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2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2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2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2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2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2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2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2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2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2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2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2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2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2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2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2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2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2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2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2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2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2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2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2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2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2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2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2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2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2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2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2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2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2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2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2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2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2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2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2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2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2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2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2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2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2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2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2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2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2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2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2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2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2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2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2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2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2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2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2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2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2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2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2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2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2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2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2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2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2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2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2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2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2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2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2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2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2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2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2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2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2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2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2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2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2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2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2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2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2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2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2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2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2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2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2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2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2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2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2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2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2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2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2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2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2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2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2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2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2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2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2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2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2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2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2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2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2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2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2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2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2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2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2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2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2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2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2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2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2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2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2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2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2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2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2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2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2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2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2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2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2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2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2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2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2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2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2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2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2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2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2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2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2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2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2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2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2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2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2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2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2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2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2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2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2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2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2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2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2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2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2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2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2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2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2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2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2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2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2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2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2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2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2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2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2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2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2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2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2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2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2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2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2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2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2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2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2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2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2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2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2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2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2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2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2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2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2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2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2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2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2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25">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25">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row r="1315" spans="1:35" s="10" customFormat="1" x14ac:dyDescent="0.25">
      <c r="A1315" s="12"/>
      <c r="B1315" s="12"/>
      <c r="C1315" s="12"/>
      <c r="D1315" s="12"/>
      <c r="E1315" s="12"/>
      <c r="I1315" s="14"/>
      <c r="M1315" s="12"/>
      <c r="T1315" s="12"/>
      <c r="U1315" s="12"/>
      <c r="V1315" s="12"/>
      <c r="W1315" s="12"/>
      <c r="X1315" s="12"/>
      <c r="Y1315" s="12"/>
      <c r="Z1315" s="12"/>
      <c r="AA1315" s="12"/>
      <c r="AB1315" s="12"/>
      <c r="AC1315" s="12"/>
      <c r="AD1315" s="12"/>
      <c r="AE1315" s="12"/>
      <c r="AF1315" s="12"/>
      <c r="AG1315" s="12"/>
      <c r="AH1315" s="12"/>
      <c r="AI1315" s="12"/>
    </row>
    <row r="1316" spans="1:35" s="10" customFormat="1" x14ac:dyDescent="0.25">
      <c r="A1316" s="12"/>
      <c r="B1316" s="12"/>
      <c r="C1316" s="12"/>
      <c r="D1316" s="12"/>
      <c r="E1316" s="12"/>
      <c r="I1316" s="14"/>
      <c r="M1316" s="12"/>
      <c r="T1316" s="12"/>
      <c r="U1316" s="12"/>
      <c r="V1316" s="12"/>
      <c r="W1316" s="12"/>
      <c r="X1316" s="12"/>
      <c r="Y1316" s="12"/>
      <c r="Z1316" s="12"/>
      <c r="AA1316" s="12"/>
      <c r="AB1316" s="12"/>
      <c r="AC1316" s="12"/>
      <c r="AD1316" s="12"/>
      <c r="AE1316" s="12"/>
      <c r="AF1316" s="12"/>
      <c r="AG1316" s="12"/>
      <c r="AH1316" s="12"/>
      <c r="AI1316" s="12"/>
    </row>
    <row r="1317" spans="1:35" s="10" customFormat="1" x14ac:dyDescent="0.25">
      <c r="A1317" s="12"/>
      <c r="B1317" s="12"/>
      <c r="C1317" s="12"/>
      <c r="D1317" s="12"/>
      <c r="E1317" s="12"/>
      <c r="I1317" s="14"/>
      <c r="M1317" s="12"/>
      <c r="T1317" s="12"/>
      <c r="U1317" s="12"/>
      <c r="V1317" s="12"/>
      <c r="W1317" s="12"/>
      <c r="X1317" s="12"/>
      <c r="Y1317" s="12"/>
      <c r="Z1317" s="12"/>
      <c r="AA1317" s="12"/>
      <c r="AB1317" s="12"/>
      <c r="AC1317" s="12"/>
      <c r="AD1317" s="12"/>
      <c r="AE1317" s="12"/>
      <c r="AF1317" s="12"/>
      <c r="AG1317" s="12"/>
      <c r="AH1317" s="12"/>
      <c r="AI1317" s="12"/>
    </row>
    <row r="1318" spans="1:35" s="10" customFormat="1" x14ac:dyDescent="0.25">
      <c r="A1318" s="12"/>
      <c r="B1318" s="12"/>
      <c r="C1318" s="12"/>
      <c r="D1318" s="12"/>
      <c r="E1318" s="12"/>
      <c r="I1318" s="14"/>
      <c r="M1318" s="12"/>
      <c r="T1318" s="12"/>
      <c r="U1318" s="12"/>
      <c r="V1318" s="12"/>
      <c r="W1318" s="12"/>
      <c r="X1318" s="12"/>
      <c r="Y1318" s="12"/>
      <c r="Z1318" s="12"/>
      <c r="AA1318" s="12"/>
      <c r="AB1318" s="12"/>
      <c r="AC1318" s="12"/>
      <c r="AD1318" s="12"/>
      <c r="AE1318" s="12"/>
      <c r="AF1318" s="12"/>
      <c r="AG1318" s="12"/>
      <c r="AH1318" s="12"/>
      <c r="AI1318" s="12"/>
    </row>
    <row r="1319" spans="1:35" s="10" customFormat="1" x14ac:dyDescent="0.25">
      <c r="A1319" s="12"/>
      <c r="B1319" s="12"/>
      <c r="C1319" s="12"/>
      <c r="D1319" s="12"/>
      <c r="E1319" s="12"/>
      <c r="I1319" s="14"/>
      <c r="M1319" s="12"/>
      <c r="T1319" s="12"/>
      <c r="U1319" s="12"/>
      <c r="V1319" s="12"/>
      <c r="W1319" s="12"/>
      <c r="X1319" s="12"/>
      <c r="Y1319" s="12"/>
      <c r="Z1319" s="12"/>
      <c r="AA1319" s="12"/>
      <c r="AB1319" s="12"/>
      <c r="AC1319" s="12"/>
      <c r="AD1319" s="12"/>
      <c r="AE1319" s="12"/>
      <c r="AF1319" s="12"/>
      <c r="AG1319" s="12"/>
      <c r="AH1319" s="12"/>
      <c r="AI1319" s="12"/>
    </row>
    <row r="1320" spans="1:35" s="10" customFormat="1" x14ac:dyDescent="0.25">
      <c r="A1320" s="12"/>
      <c r="B1320" s="12"/>
      <c r="C1320" s="12"/>
      <c r="D1320" s="12"/>
      <c r="E1320" s="12"/>
      <c r="I1320" s="14"/>
      <c r="M1320" s="12"/>
      <c r="T1320" s="12"/>
      <c r="U1320" s="12"/>
      <c r="V1320" s="12"/>
      <c r="W1320" s="12"/>
      <c r="X1320" s="12"/>
      <c r="Y1320" s="12"/>
      <c r="Z1320" s="12"/>
      <c r="AA1320" s="12"/>
      <c r="AB1320" s="12"/>
      <c r="AC1320" s="12"/>
      <c r="AD1320" s="12"/>
      <c r="AE1320" s="12"/>
      <c r="AF1320" s="12"/>
      <c r="AG1320" s="12"/>
      <c r="AH1320" s="12"/>
      <c r="AI1320" s="12"/>
    </row>
    <row r="1321" spans="1:35" s="10" customFormat="1" x14ac:dyDescent="0.25">
      <c r="A1321" s="12"/>
      <c r="B1321" s="12"/>
      <c r="C1321" s="12"/>
      <c r="D1321" s="12"/>
      <c r="E1321" s="12"/>
      <c r="I1321" s="14"/>
      <c r="M1321" s="12"/>
      <c r="T1321" s="12"/>
      <c r="U1321" s="12"/>
      <c r="V1321" s="12"/>
      <c r="W1321" s="12"/>
      <c r="X1321" s="12"/>
      <c r="Y1321" s="12"/>
      <c r="Z1321" s="12"/>
      <c r="AA1321" s="12"/>
      <c r="AB1321" s="12"/>
      <c r="AC1321" s="12"/>
      <c r="AD1321" s="12"/>
      <c r="AE1321" s="12"/>
      <c r="AF1321" s="12"/>
      <c r="AG1321" s="12"/>
      <c r="AH1321" s="12"/>
      <c r="AI1321" s="12"/>
    </row>
    <row r="1322" spans="1:35" s="10" customFormat="1" x14ac:dyDescent="0.25">
      <c r="A1322" s="12"/>
      <c r="B1322" s="12"/>
      <c r="C1322" s="12"/>
      <c r="D1322" s="12"/>
      <c r="E1322" s="12"/>
      <c r="I1322" s="14"/>
      <c r="M1322" s="12"/>
      <c r="T1322" s="12"/>
      <c r="U1322" s="12"/>
      <c r="V1322" s="12"/>
      <c r="W1322" s="12"/>
      <c r="X1322" s="12"/>
      <c r="Y1322" s="12"/>
      <c r="Z1322" s="12"/>
      <c r="AA1322" s="12"/>
      <c r="AB1322" s="12"/>
      <c r="AC1322" s="12"/>
      <c r="AD1322" s="12"/>
      <c r="AE1322" s="12"/>
      <c r="AF1322" s="12"/>
      <c r="AG1322" s="12"/>
      <c r="AH1322" s="12"/>
      <c r="AI1322" s="12"/>
    </row>
    <row r="1323" spans="1:35" s="10" customFormat="1" x14ac:dyDescent="0.25">
      <c r="A1323" s="12"/>
      <c r="B1323" s="12"/>
      <c r="C1323" s="12"/>
      <c r="D1323" s="12"/>
      <c r="E1323" s="12"/>
      <c r="I1323" s="14"/>
      <c r="M1323" s="12"/>
      <c r="T1323" s="12"/>
      <c r="U1323" s="12"/>
      <c r="V1323" s="12"/>
      <c r="W1323" s="12"/>
      <c r="X1323" s="12"/>
      <c r="Y1323" s="12"/>
      <c r="Z1323" s="12"/>
      <c r="AA1323" s="12"/>
      <c r="AB1323" s="12"/>
      <c r="AC1323" s="12"/>
      <c r="AD1323" s="12"/>
      <c r="AE1323" s="12"/>
      <c r="AF1323" s="12"/>
      <c r="AG1323" s="12"/>
      <c r="AH1323" s="12"/>
      <c r="AI1323" s="12"/>
    </row>
    <row r="1324" spans="1:35" s="10" customFormat="1" x14ac:dyDescent="0.25">
      <c r="A1324" s="12"/>
      <c r="B1324" s="12"/>
      <c r="C1324" s="12"/>
      <c r="D1324" s="12"/>
      <c r="E1324" s="12"/>
      <c r="I1324" s="14"/>
      <c r="M1324" s="12"/>
      <c r="T1324" s="12"/>
      <c r="U1324" s="12"/>
      <c r="V1324" s="12"/>
      <c r="W1324" s="12"/>
      <c r="X1324" s="12"/>
      <c r="Y1324" s="12"/>
      <c r="Z1324" s="12"/>
      <c r="AA1324" s="12"/>
      <c r="AB1324" s="12"/>
      <c r="AC1324" s="12"/>
      <c r="AD1324" s="12"/>
      <c r="AE1324" s="12"/>
      <c r="AF1324" s="12"/>
      <c r="AG1324" s="12"/>
      <c r="AH1324" s="12"/>
      <c r="AI1324" s="12"/>
    </row>
    <row r="1325" spans="1:35" s="10" customFormat="1" x14ac:dyDescent="0.25">
      <c r="A1325" s="12"/>
      <c r="B1325" s="12"/>
      <c r="C1325" s="12"/>
      <c r="D1325" s="12"/>
      <c r="E1325" s="12"/>
      <c r="I1325" s="14"/>
      <c r="M1325" s="12"/>
      <c r="T1325" s="12"/>
      <c r="U1325" s="12"/>
      <c r="V1325" s="12"/>
      <c r="W1325" s="12"/>
      <c r="X1325" s="12"/>
      <c r="Y1325" s="12"/>
      <c r="Z1325" s="12"/>
      <c r="AA1325" s="12"/>
      <c r="AB1325" s="12"/>
      <c r="AC1325" s="12"/>
      <c r="AD1325" s="12"/>
      <c r="AE1325" s="12"/>
      <c r="AF1325" s="12"/>
      <c r="AG1325" s="12"/>
      <c r="AH1325" s="12"/>
      <c r="AI1325" s="12"/>
    </row>
    <row r="1326" spans="1:35" s="10" customFormat="1" x14ac:dyDescent="0.25">
      <c r="A1326" s="12"/>
      <c r="B1326" s="12"/>
      <c r="C1326" s="12"/>
      <c r="D1326" s="12"/>
      <c r="E1326" s="12"/>
      <c r="I1326" s="14"/>
      <c r="M1326" s="12"/>
      <c r="T1326" s="12"/>
      <c r="U1326" s="12"/>
      <c r="V1326" s="12"/>
      <c r="W1326" s="12"/>
      <c r="X1326" s="12"/>
      <c r="Y1326" s="12"/>
      <c r="Z1326" s="12"/>
      <c r="AA1326" s="12"/>
      <c r="AB1326" s="12"/>
      <c r="AC1326" s="12"/>
      <c r="AD1326" s="12"/>
      <c r="AE1326" s="12"/>
      <c r="AF1326" s="12"/>
      <c r="AG1326" s="12"/>
      <c r="AH1326" s="12"/>
      <c r="AI1326" s="12"/>
    </row>
    <row r="1327" spans="1:35" s="10" customFormat="1" x14ac:dyDescent="0.25">
      <c r="A1327" s="12"/>
      <c r="B1327" s="12"/>
      <c r="C1327" s="12"/>
      <c r="D1327" s="12"/>
      <c r="E1327" s="12"/>
      <c r="I1327" s="14"/>
      <c r="M1327" s="12"/>
      <c r="T1327" s="12"/>
      <c r="U1327" s="12"/>
      <c r="V1327" s="12"/>
      <c r="W1327" s="12"/>
      <c r="X1327" s="12"/>
      <c r="Y1327" s="12"/>
      <c r="Z1327" s="12"/>
      <c r="AA1327" s="12"/>
      <c r="AB1327" s="12"/>
      <c r="AC1327" s="12"/>
      <c r="AD1327" s="12"/>
      <c r="AE1327" s="12"/>
      <c r="AF1327" s="12"/>
      <c r="AG1327" s="12"/>
      <c r="AH1327" s="12"/>
      <c r="AI1327" s="12"/>
    </row>
    <row r="1328" spans="1:35" s="10" customFormat="1" x14ac:dyDescent="0.25">
      <c r="A1328" s="12"/>
      <c r="B1328" s="12"/>
      <c r="C1328" s="12"/>
      <c r="D1328" s="12"/>
      <c r="E1328" s="12"/>
      <c r="I1328" s="14"/>
      <c r="M1328" s="12"/>
      <c r="T1328" s="12"/>
      <c r="U1328" s="12"/>
      <c r="V1328" s="12"/>
      <c r="W1328" s="12"/>
      <c r="X1328" s="12"/>
      <c r="Y1328" s="12"/>
      <c r="Z1328" s="12"/>
      <c r="AA1328" s="12"/>
      <c r="AB1328" s="12"/>
      <c r="AC1328" s="12"/>
      <c r="AD1328" s="12"/>
      <c r="AE1328" s="12"/>
      <c r="AF1328" s="12"/>
      <c r="AG1328" s="12"/>
      <c r="AH1328" s="12"/>
      <c r="AI1328" s="12"/>
    </row>
    <row r="1329" spans="1:35" s="10" customFormat="1" x14ac:dyDescent="0.25">
      <c r="A1329" s="12"/>
      <c r="B1329" s="12"/>
      <c r="C1329" s="12"/>
      <c r="D1329" s="12"/>
      <c r="E1329" s="12"/>
      <c r="I1329" s="14"/>
      <c r="M1329" s="12"/>
      <c r="T1329" s="12"/>
      <c r="U1329" s="12"/>
      <c r="V1329" s="12"/>
      <c r="W1329" s="12"/>
      <c r="X1329" s="12"/>
      <c r="Y1329" s="12"/>
      <c r="Z1329" s="12"/>
      <c r="AA1329" s="12"/>
      <c r="AB1329" s="12"/>
      <c r="AC1329" s="12"/>
      <c r="AD1329" s="12"/>
      <c r="AE1329" s="12"/>
      <c r="AF1329" s="12"/>
      <c r="AG1329" s="12"/>
      <c r="AH1329" s="12"/>
      <c r="AI1329" s="12"/>
    </row>
    <row r="1330" spans="1:35" s="10" customFormat="1" x14ac:dyDescent="0.25">
      <c r="A1330" s="12"/>
      <c r="B1330" s="12"/>
      <c r="C1330" s="12"/>
      <c r="D1330" s="12"/>
      <c r="E1330" s="12"/>
      <c r="I1330" s="14"/>
      <c r="M1330" s="12"/>
      <c r="T1330" s="12"/>
      <c r="U1330" s="12"/>
      <c r="V1330" s="12"/>
      <c r="W1330" s="12"/>
      <c r="X1330" s="12"/>
      <c r="Y1330" s="12"/>
      <c r="Z1330" s="12"/>
      <c r="AA1330" s="12"/>
      <c r="AB1330" s="12"/>
      <c r="AC1330" s="12"/>
      <c r="AD1330" s="12"/>
      <c r="AE1330" s="12"/>
      <c r="AF1330" s="12"/>
      <c r="AG1330" s="12"/>
      <c r="AH1330" s="12"/>
      <c r="AI1330" s="12"/>
    </row>
    <row r="1331" spans="1:35" s="10" customFormat="1" x14ac:dyDescent="0.25">
      <c r="A1331" s="12"/>
      <c r="B1331" s="12"/>
      <c r="C1331" s="12"/>
      <c r="D1331" s="12"/>
      <c r="E1331" s="12"/>
      <c r="I1331" s="14"/>
      <c r="M1331" s="12"/>
      <c r="T1331" s="12"/>
      <c r="U1331" s="12"/>
      <c r="V1331" s="12"/>
      <c r="W1331" s="12"/>
      <c r="X1331" s="12"/>
      <c r="Y1331" s="12"/>
      <c r="Z1331" s="12"/>
      <c r="AA1331" s="12"/>
      <c r="AB1331" s="12"/>
      <c r="AC1331" s="12"/>
      <c r="AD1331" s="12"/>
      <c r="AE1331" s="12"/>
      <c r="AF1331" s="12"/>
      <c r="AG1331" s="12"/>
      <c r="AH1331" s="12"/>
      <c r="AI1331" s="12"/>
    </row>
    <row r="1332" spans="1:35" s="10" customFormat="1" x14ac:dyDescent="0.25">
      <c r="A1332" s="12"/>
      <c r="B1332" s="12"/>
      <c r="C1332" s="12"/>
      <c r="D1332" s="12"/>
      <c r="E1332" s="12"/>
      <c r="I1332" s="14"/>
      <c r="M1332" s="12"/>
      <c r="T1332" s="12"/>
      <c r="U1332" s="12"/>
      <c r="V1332" s="12"/>
      <c r="W1332" s="12"/>
      <c r="X1332" s="12"/>
      <c r="Y1332" s="12"/>
      <c r="Z1332" s="12"/>
      <c r="AA1332" s="12"/>
      <c r="AB1332" s="12"/>
      <c r="AC1332" s="12"/>
      <c r="AD1332" s="12"/>
      <c r="AE1332" s="12"/>
      <c r="AF1332" s="12"/>
      <c r="AG1332" s="12"/>
      <c r="AH1332" s="12"/>
      <c r="AI1332" s="12"/>
    </row>
    <row r="1333" spans="1:35" s="10" customFormat="1" x14ac:dyDescent="0.25">
      <c r="A1333" s="12"/>
      <c r="B1333" s="12"/>
      <c r="C1333" s="12"/>
      <c r="D1333" s="12"/>
      <c r="E1333" s="12"/>
      <c r="I1333" s="14"/>
      <c r="M1333" s="12"/>
      <c r="T1333" s="12"/>
      <c r="U1333" s="12"/>
      <c r="V1333" s="12"/>
      <c r="W1333" s="12"/>
      <c r="X1333" s="12"/>
      <c r="Y1333" s="12"/>
      <c r="Z1333" s="12"/>
      <c r="AA1333" s="12"/>
      <c r="AB1333" s="12"/>
      <c r="AC1333" s="12"/>
      <c r="AD1333" s="12"/>
      <c r="AE1333" s="12"/>
      <c r="AF1333" s="12"/>
      <c r="AG1333" s="12"/>
      <c r="AH1333" s="12"/>
      <c r="AI1333" s="12"/>
    </row>
    <row r="1334" spans="1:35" s="10" customFormat="1" x14ac:dyDescent="0.25">
      <c r="A1334" s="12"/>
      <c r="B1334" s="12"/>
      <c r="C1334" s="12"/>
      <c r="D1334" s="12"/>
      <c r="E1334" s="12"/>
      <c r="I1334" s="14"/>
      <c r="M1334" s="12"/>
      <c r="T1334" s="12"/>
      <c r="U1334" s="12"/>
      <c r="V1334" s="12"/>
      <c r="W1334" s="12"/>
      <c r="X1334" s="12"/>
      <c r="Y1334" s="12"/>
      <c r="Z1334" s="12"/>
      <c r="AA1334" s="12"/>
      <c r="AB1334" s="12"/>
      <c r="AC1334" s="12"/>
      <c r="AD1334" s="12"/>
      <c r="AE1334" s="12"/>
      <c r="AF1334" s="12"/>
      <c r="AG1334" s="12"/>
      <c r="AH1334" s="12"/>
      <c r="AI1334" s="12"/>
    </row>
    <row r="1335" spans="1:35" s="10" customFormat="1" x14ac:dyDescent="0.25">
      <c r="A1335" s="12"/>
      <c r="B1335" s="12"/>
      <c r="C1335" s="12"/>
      <c r="D1335" s="12"/>
      <c r="E1335" s="12"/>
      <c r="I1335" s="14"/>
      <c r="M1335" s="12"/>
      <c r="T1335" s="12"/>
      <c r="U1335" s="12"/>
      <c r="V1335" s="12"/>
      <c r="W1335" s="12"/>
      <c r="X1335" s="12"/>
      <c r="Y1335" s="12"/>
      <c r="Z1335" s="12"/>
      <c r="AA1335" s="12"/>
      <c r="AB1335" s="12"/>
      <c r="AC1335" s="12"/>
      <c r="AD1335" s="12"/>
      <c r="AE1335" s="12"/>
      <c r="AF1335" s="12"/>
      <c r="AG1335" s="12"/>
      <c r="AH1335" s="12"/>
      <c r="AI1335" s="12"/>
    </row>
    <row r="1336" spans="1:35" s="10" customFormat="1" x14ac:dyDescent="0.25">
      <c r="A1336" s="12"/>
      <c r="B1336" s="12"/>
      <c r="C1336" s="12"/>
      <c r="D1336" s="12"/>
      <c r="E1336" s="12"/>
      <c r="I1336" s="14"/>
      <c r="M1336" s="12"/>
      <c r="T1336" s="12"/>
      <c r="U1336" s="12"/>
      <c r="V1336" s="12"/>
      <c r="W1336" s="12"/>
      <c r="X1336" s="12"/>
      <c r="Y1336" s="12"/>
      <c r="Z1336" s="12"/>
      <c r="AA1336" s="12"/>
      <c r="AB1336" s="12"/>
      <c r="AC1336" s="12"/>
      <c r="AD1336" s="12"/>
      <c r="AE1336" s="12"/>
      <c r="AF1336" s="12"/>
      <c r="AG1336" s="12"/>
      <c r="AH1336" s="12"/>
      <c r="AI1336" s="12"/>
    </row>
    <row r="1337" spans="1:35" s="10" customFormat="1" x14ac:dyDescent="0.25">
      <c r="A1337" s="12"/>
      <c r="B1337" s="12"/>
      <c r="C1337" s="12"/>
      <c r="D1337" s="12"/>
      <c r="E1337" s="12"/>
      <c r="I1337" s="14"/>
      <c r="M1337" s="12"/>
      <c r="T1337" s="12"/>
      <c r="U1337" s="12"/>
      <c r="V1337" s="12"/>
      <c r="W1337" s="12"/>
      <c r="X1337" s="12"/>
      <c r="Y1337" s="12"/>
      <c r="Z1337" s="12"/>
      <c r="AA1337" s="12"/>
      <c r="AB1337" s="12"/>
      <c r="AC1337" s="12"/>
      <c r="AD1337" s="12"/>
      <c r="AE1337" s="12"/>
      <c r="AF1337" s="12"/>
      <c r="AG1337" s="12"/>
      <c r="AH1337" s="12"/>
      <c r="AI1337" s="12"/>
    </row>
    <row r="1338" spans="1:35" s="10" customFormat="1" x14ac:dyDescent="0.25">
      <c r="A1338" s="12"/>
      <c r="B1338" s="12"/>
      <c r="C1338" s="12"/>
      <c r="D1338" s="12"/>
      <c r="E1338" s="12"/>
      <c r="I1338" s="14"/>
      <c r="M1338" s="12"/>
      <c r="T1338" s="12"/>
      <c r="U1338" s="12"/>
      <c r="V1338" s="12"/>
      <c r="W1338" s="12"/>
      <c r="X1338" s="12"/>
      <c r="Y1338" s="12"/>
      <c r="Z1338" s="12"/>
      <c r="AA1338" s="12"/>
      <c r="AB1338" s="12"/>
      <c r="AC1338" s="12"/>
      <c r="AD1338" s="12"/>
      <c r="AE1338" s="12"/>
      <c r="AF1338" s="12"/>
      <c r="AG1338" s="12"/>
      <c r="AH1338" s="12"/>
      <c r="AI1338" s="12"/>
    </row>
    <row r="1339" spans="1:35" s="10" customFormat="1" x14ac:dyDescent="0.25">
      <c r="A1339" s="12"/>
      <c r="B1339" s="12"/>
      <c r="C1339" s="12"/>
      <c r="D1339" s="12"/>
      <c r="E1339" s="12"/>
      <c r="I1339" s="14"/>
      <c r="M1339" s="12"/>
      <c r="T1339" s="12"/>
      <c r="U1339" s="12"/>
      <c r="V1339" s="12"/>
      <c r="W1339" s="12"/>
      <c r="X1339" s="12"/>
      <c r="Y1339" s="12"/>
      <c r="Z1339" s="12"/>
      <c r="AA1339" s="12"/>
      <c r="AB1339" s="12"/>
      <c r="AC1339" s="12"/>
      <c r="AD1339" s="12"/>
      <c r="AE1339" s="12"/>
      <c r="AF1339" s="12"/>
      <c r="AG1339" s="12"/>
      <c r="AH1339" s="12"/>
      <c r="AI1339" s="12"/>
    </row>
    <row r="1340" spans="1:35" s="10" customFormat="1" x14ac:dyDescent="0.25">
      <c r="A1340" s="12"/>
      <c r="B1340" s="12"/>
      <c r="C1340" s="12"/>
      <c r="D1340" s="12"/>
      <c r="E1340" s="12"/>
      <c r="I1340" s="14"/>
      <c r="M1340" s="12"/>
      <c r="T1340" s="12"/>
      <c r="U1340" s="12"/>
      <c r="V1340" s="12"/>
      <c r="W1340" s="12"/>
      <c r="X1340" s="12"/>
      <c r="Y1340" s="12"/>
      <c r="Z1340" s="12"/>
      <c r="AA1340" s="12"/>
      <c r="AB1340" s="12"/>
      <c r="AC1340" s="12"/>
      <c r="AD1340" s="12"/>
      <c r="AE1340" s="12"/>
      <c r="AF1340" s="12"/>
      <c r="AG1340" s="12"/>
      <c r="AH1340" s="12"/>
      <c r="AI1340" s="12"/>
    </row>
    <row r="1341" spans="1:35" s="10" customFormat="1" x14ac:dyDescent="0.25">
      <c r="A1341" s="12"/>
      <c r="B1341" s="12"/>
      <c r="C1341" s="12"/>
      <c r="D1341" s="12"/>
      <c r="E1341" s="12"/>
      <c r="I1341" s="14"/>
      <c r="M1341" s="12"/>
      <c r="T1341" s="12"/>
      <c r="U1341" s="12"/>
      <c r="V1341" s="12"/>
      <c r="W1341" s="12"/>
      <c r="X1341" s="12"/>
      <c r="Y1341" s="12"/>
      <c r="Z1341" s="12"/>
      <c r="AA1341" s="12"/>
      <c r="AB1341" s="12"/>
      <c r="AC1341" s="12"/>
      <c r="AD1341" s="12"/>
      <c r="AE1341" s="12"/>
      <c r="AF1341" s="12"/>
      <c r="AG1341" s="12"/>
      <c r="AH1341" s="12"/>
      <c r="AI1341" s="12"/>
    </row>
    <row r="1342" spans="1:35" s="10" customFormat="1" x14ac:dyDescent="0.25">
      <c r="A1342" s="12"/>
      <c r="B1342" s="12"/>
      <c r="C1342" s="12"/>
      <c r="D1342" s="12"/>
      <c r="E1342" s="12"/>
      <c r="I1342" s="14"/>
      <c r="M1342" s="12"/>
      <c r="T1342" s="12"/>
      <c r="U1342" s="12"/>
      <c r="V1342" s="12"/>
      <c r="W1342" s="12"/>
      <c r="X1342" s="12"/>
      <c r="Y1342" s="12"/>
      <c r="Z1342" s="12"/>
      <c r="AA1342" s="12"/>
      <c r="AB1342" s="12"/>
      <c r="AC1342" s="12"/>
      <c r="AD1342" s="12"/>
      <c r="AE1342" s="12"/>
      <c r="AF1342" s="12"/>
      <c r="AG1342" s="12"/>
      <c r="AH1342" s="12"/>
      <c r="AI1342" s="12"/>
    </row>
  </sheetData>
  <mergeCells count="20">
    <mergeCell ref="T16:T17"/>
    <mergeCell ref="L16:L17"/>
    <mergeCell ref="H16:H17"/>
    <mergeCell ref="P16:P17"/>
    <mergeCell ref="S16:S17"/>
    <mergeCell ref="M16:M17"/>
    <mergeCell ref="N16:N17"/>
    <mergeCell ref="O16:O17"/>
    <mergeCell ref="I16:I17"/>
    <mergeCell ref="J16:J17"/>
    <mergeCell ref="K16:K17"/>
    <mergeCell ref="Q16:Q17"/>
    <mergeCell ref="R16:R17"/>
    <mergeCell ref="F16:F17"/>
    <mergeCell ref="G16:G17"/>
    <mergeCell ref="C16:C17"/>
    <mergeCell ref="B16:B17"/>
    <mergeCell ref="A16:A17"/>
    <mergeCell ref="D16:D17"/>
    <mergeCell ref="E16:E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5" r:id="rId4" name="CommandButton7">
          <controlPr autoLine="0" autoPict="0" r:id="rId5">
            <anchor moveWithCells="1">
              <from>
                <xdr:col>7</xdr:col>
                <xdr:colOff>342900</xdr:colOff>
                <xdr:row>4</xdr:row>
                <xdr:rowOff>19050</xdr:rowOff>
              </from>
              <to>
                <xdr:col>9</xdr:col>
                <xdr:colOff>1295400</xdr:colOff>
                <xdr:row>5</xdr:row>
                <xdr:rowOff>19050</xdr:rowOff>
              </to>
            </anchor>
          </controlPr>
        </control>
      </mc:Choice>
      <mc:Fallback>
        <control shapeId="22535" r:id="rId4" name="CommandButton7"/>
      </mc:Fallback>
    </mc:AlternateContent>
    <mc:AlternateContent xmlns:mc="http://schemas.openxmlformats.org/markup-compatibility/2006">
      <mc:Choice Requires="x14">
        <control shapeId="22536" r:id="rId6" name="CommandButton8">
          <controlPr defaultSize="0" autoLine="0" r:id="rId7">
            <anchor moveWithCells="1">
              <from>
                <xdr:col>7</xdr:col>
                <xdr:colOff>342900</xdr:colOff>
                <xdr:row>2</xdr:row>
                <xdr:rowOff>0</xdr:rowOff>
              </from>
              <to>
                <xdr:col>9</xdr:col>
                <xdr:colOff>1304925</xdr:colOff>
                <xdr:row>3</xdr:row>
                <xdr:rowOff>28575</xdr:rowOff>
              </to>
            </anchor>
          </controlPr>
        </control>
      </mc:Choice>
      <mc:Fallback>
        <control shapeId="22536" r:id="rId6" name="CommandButton8"/>
      </mc:Fallback>
    </mc:AlternateContent>
    <mc:AlternateContent xmlns:mc="http://schemas.openxmlformats.org/markup-compatibility/2006">
      <mc:Choice Requires="x14">
        <control shapeId="22537" r:id="rId8" name="CommandButton2">
          <controlPr autoLine="0" r:id="rId9">
            <anchor moveWithCells="1">
              <from>
                <xdr:col>7</xdr:col>
                <xdr:colOff>333375</xdr:colOff>
                <xdr:row>7</xdr:row>
                <xdr:rowOff>9525</xdr:rowOff>
              </from>
              <to>
                <xdr:col>9</xdr:col>
                <xdr:colOff>1304925</xdr:colOff>
                <xdr:row>8</xdr:row>
                <xdr:rowOff>0</xdr:rowOff>
              </to>
            </anchor>
          </controlPr>
        </control>
      </mc:Choice>
      <mc:Fallback>
        <control shapeId="22537" r:id="rId8" name="CommandButton2"/>
      </mc:Fallback>
    </mc:AlternateContent>
    <mc:AlternateContent xmlns:mc="http://schemas.openxmlformats.org/markup-compatibility/2006">
      <mc:Choice Requires="x14">
        <control shapeId="22538" r:id="rId10" name="CommandButton3">
          <controlPr autoLine="0" r:id="rId11">
            <anchor moveWithCells="1">
              <from>
                <xdr:col>7</xdr:col>
                <xdr:colOff>333375</xdr:colOff>
                <xdr:row>9</xdr:row>
                <xdr:rowOff>9525</xdr:rowOff>
              </from>
              <to>
                <xdr:col>9</xdr:col>
                <xdr:colOff>1304925</xdr:colOff>
                <xdr:row>10</xdr:row>
                <xdr:rowOff>0</xdr:rowOff>
              </to>
            </anchor>
          </controlPr>
        </control>
      </mc:Choice>
      <mc:Fallback>
        <control shapeId="22538" r:id="rId10" name="CommandButton3"/>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workbookViewId="0">
      <selection activeCell="C16" sqref="C16"/>
    </sheetView>
  </sheetViews>
  <sheetFormatPr defaultRowHeight="15" x14ac:dyDescent="0.25"/>
  <cols>
    <col min="2" max="2" width="9.5703125" customWidth="1"/>
    <col min="3" max="3" width="11.5703125" style="3" customWidth="1"/>
    <col min="4" max="4" width="12.5703125" customWidth="1"/>
    <col min="5" max="5" width="22.85546875" customWidth="1"/>
    <col min="6" max="6" width="83.28515625" customWidth="1"/>
    <col min="10" max="10" width="18.5703125" bestFit="1" customWidth="1"/>
  </cols>
  <sheetData>
    <row r="5" spans="3:6" ht="21" x14ac:dyDescent="0.35">
      <c r="C5" s="1" t="s">
        <v>38</v>
      </c>
      <c r="D5" s="3"/>
    </row>
    <row r="6" spans="3:6" x14ac:dyDescent="0.25">
      <c r="D6" s="2"/>
    </row>
    <row r="7" spans="3:6" x14ac:dyDescent="0.25">
      <c r="D7" s="2"/>
    </row>
    <row r="8" spans="3:6" x14ac:dyDescent="0.25">
      <c r="D8" s="2"/>
    </row>
    <row r="9" spans="3:6" x14ac:dyDescent="0.25">
      <c r="D9" s="2"/>
    </row>
    <row r="10" spans="3:6" ht="15.75" x14ac:dyDescent="0.25">
      <c r="C10" s="4" t="s">
        <v>29</v>
      </c>
      <c r="D10" s="4" t="s">
        <v>3</v>
      </c>
      <c r="E10" s="4" t="s">
        <v>2</v>
      </c>
      <c r="F10" s="4" t="s">
        <v>4</v>
      </c>
    </row>
    <row r="11" spans="3:6" x14ac:dyDescent="0.25">
      <c r="C11" t="s">
        <v>32</v>
      </c>
      <c r="D11" s="3">
        <v>0</v>
      </c>
      <c r="E11" t="s">
        <v>23</v>
      </c>
      <c r="F11" t="s">
        <v>26</v>
      </c>
    </row>
    <row r="12" spans="3:6" x14ac:dyDescent="0.25">
      <c r="C12" t="s">
        <v>30</v>
      </c>
      <c r="D12" s="3">
        <v>1</v>
      </c>
      <c r="E12" t="s">
        <v>24</v>
      </c>
      <c r="F12" t="s">
        <v>27</v>
      </c>
    </row>
    <row r="13" spans="3:6" x14ac:dyDescent="0.25">
      <c r="C13" t="s">
        <v>31</v>
      </c>
      <c r="D13" s="3">
        <v>2</v>
      </c>
      <c r="E13" t="s">
        <v>25</v>
      </c>
      <c r="F13" t="s">
        <v>28</v>
      </c>
    </row>
    <row r="14" spans="3:6" x14ac:dyDescent="0.25">
      <c r="C14" t="s">
        <v>185</v>
      </c>
      <c r="D14" s="3">
        <v>3</v>
      </c>
      <c r="E14" t="s">
        <v>186</v>
      </c>
      <c r="F14" t="s">
        <v>187</v>
      </c>
    </row>
    <row r="15" spans="3:6" x14ac:dyDescent="0.25">
      <c r="C15" t="s">
        <v>183</v>
      </c>
      <c r="D15" s="3">
        <v>4</v>
      </c>
      <c r="E15" t="s">
        <v>184</v>
      </c>
      <c r="F15" t="s">
        <v>188</v>
      </c>
    </row>
    <row r="16" spans="3:6" x14ac:dyDescent="0.25">
      <c r="C16" t="s">
        <v>189</v>
      </c>
      <c r="D16" s="3">
        <v>5</v>
      </c>
      <c r="E16" t="s">
        <v>190</v>
      </c>
      <c r="F16" t="s">
        <v>191</v>
      </c>
    </row>
    <row r="17" spans="3:5" x14ac:dyDescent="0.25">
      <c r="C17" t="s">
        <v>242</v>
      </c>
      <c r="D17" s="3">
        <v>6</v>
      </c>
      <c r="E17" t="s">
        <v>87</v>
      </c>
    </row>
    <row r="18" spans="3:5" x14ac:dyDescent="0.25">
      <c r="C18" s="2"/>
      <c r="D18" s="3">
        <v>7</v>
      </c>
    </row>
    <row r="19" spans="3:5" x14ac:dyDescent="0.25">
      <c r="C19"/>
      <c r="D19" s="3">
        <v>8</v>
      </c>
    </row>
    <row r="20" spans="3:5" x14ac:dyDescent="0.25">
      <c r="C20"/>
      <c r="D20" s="3">
        <v>9</v>
      </c>
    </row>
    <row r="21" spans="3:5" x14ac:dyDescent="0.25">
      <c r="D21" s="3">
        <v>10</v>
      </c>
    </row>
    <row r="22" spans="3:5" x14ac:dyDescent="0.25">
      <c r="D22" s="3">
        <v>11</v>
      </c>
    </row>
    <row r="23" spans="3:5" x14ac:dyDescent="0.25">
      <c r="C23"/>
      <c r="D23" s="3">
        <v>12</v>
      </c>
    </row>
    <row r="24" spans="3:5" x14ac:dyDescent="0.25">
      <c r="C24" s="2"/>
      <c r="D24" s="3">
        <v>13</v>
      </c>
    </row>
    <row r="25" spans="3:5" x14ac:dyDescent="0.25">
      <c r="D25" s="3">
        <v>14</v>
      </c>
    </row>
    <row r="26" spans="3:5" x14ac:dyDescent="0.25">
      <c r="C26"/>
      <c r="D26" s="3">
        <v>15</v>
      </c>
    </row>
    <row r="27" spans="3:5" x14ac:dyDescent="0.25">
      <c r="C27"/>
      <c r="D27" s="3">
        <v>16</v>
      </c>
    </row>
    <row r="28" spans="3:5" x14ac:dyDescent="0.25">
      <c r="C28"/>
      <c r="D28" s="3">
        <v>17</v>
      </c>
    </row>
    <row r="29" spans="3:5" x14ac:dyDescent="0.25">
      <c r="C29"/>
      <c r="D29" s="3">
        <v>18</v>
      </c>
    </row>
    <row r="30" spans="3:5" x14ac:dyDescent="0.25">
      <c r="C30"/>
      <c r="D30" s="3">
        <v>19</v>
      </c>
    </row>
    <row r="31" spans="3:5" x14ac:dyDescent="0.25">
      <c r="C31"/>
      <c r="D31" s="3">
        <v>20</v>
      </c>
    </row>
    <row r="32" spans="3:5" x14ac:dyDescent="0.25">
      <c r="C32"/>
      <c r="D32" s="3">
        <v>21</v>
      </c>
    </row>
    <row r="33" spans="3:4" x14ac:dyDescent="0.25">
      <c r="C33"/>
      <c r="D33" s="3">
        <v>22</v>
      </c>
    </row>
    <row r="34" spans="3:4" x14ac:dyDescent="0.25">
      <c r="C34"/>
      <c r="D34" s="3">
        <v>23</v>
      </c>
    </row>
    <row r="35" spans="3:4" x14ac:dyDescent="0.25">
      <c r="C35"/>
      <c r="D35" s="3">
        <v>24</v>
      </c>
    </row>
    <row r="36" spans="3:4" x14ac:dyDescent="0.25">
      <c r="C36" s="2"/>
      <c r="D36" s="3">
        <v>25</v>
      </c>
    </row>
    <row r="37" spans="3:4" x14ac:dyDescent="0.25">
      <c r="C37"/>
      <c r="D37" s="3"/>
    </row>
    <row r="38" spans="3:4" x14ac:dyDescent="0.25">
      <c r="C38"/>
      <c r="D38" s="3"/>
    </row>
    <row r="39" spans="3:4" x14ac:dyDescent="0.25">
      <c r="C39"/>
      <c r="D39" s="3"/>
    </row>
    <row r="40" spans="3:4" x14ac:dyDescent="0.25">
      <c r="C40"/>
      <c r="D40" s="3"/>
    </row>
    <row r="41" spans="3:4" x14ac:dyDescent="0.25">
      <c r="C41"/>
      <c r="D41" s="3"/>
    </row>
    <row r="45" spans="3:4" ht="21" x14ac:dyDescent="0.35">
      <c r="C45" s="1" t="s">
        <v>53</v>
      </c>
      <c r="D45" s="3"/>
    </row>
    <row r="46" spans="3:4" x14ac:dyDescent="0.25">
      <c r="D46" s="2"/>
    </row>
    <row r="47" spans="3:4" x14ac:dyDescent="0.25">
      <c r="D47" s="2"/>
    </row>
    <row r="48" spans="3:4" x14ac:dyDescent="0.25">
      <c r="D48" s="2"/>
    </row>
    <row r="49" spans="3:6" x14ac:dyDescent="0.25">
      <c r="D49" s="2"/>
    </row>
    <row r="50" spans="3:6" ht="15.75" x14ac:dyDescent="0.25">
      <c r="C50" s="4" t="s">
        <v>29</v>
      </c>
      <c r="D50" s="4" t="s">
        <v>3</v>
      </c>
      <c r="E50" s="4" t="s">
        <v>2</v>
      </c>
      <c r="F50" s="4" t="s">
        <v>4</v>
      </c>
    </row>
    <row r="51" spans="3:6" x14ac:dyDescent="0.25">
      <c r="C51" t="s">
        <v>44</v>
      </c>
      <c r="D51" s="5">
        <v>0</v>
      </c>
      <c r="E51" t="s">
        <v>54</v>
      </c>
      <c r="F51" t="s">
        <v>90</v>
      </c>
    </row>
    <row r="52" spans="3:6" x14ac:dyDescent="0.25">
      <c r="C52" t="s">
        <v>48</v>
      </c>
      <c r="D52" s="5">
        <v>1</v>
      </c>
      <c r="E52" t="s">
        <v>55</v>
      </c>
      <c r="F52" t="s">
        <v>91</v>
      </c>
    </row>
    <row r="53" spans="3:6" x14ac:dyDescent="0.25">
      <c r="C53" t="s">
        <v>49</v>
      </c>
      <c r="D53" s="5">
        <v>2</v>
      </c>
      <c r="E53" t="s">
        <v>56</v>
      </c>
      <c r="F53" t="s">
        <v>98</v>
      </c>
    </row>
    <row r="54" spans="3:6" x14ac:dyDescent="0.25">
      <c r="C54" t="s">
        <v>116</v>
      </c>
      <c r="D54" s="5">
        <v>3</v>
      </c>
      <c r="E54" t="s">
        <v>57</v>
      </c>
      <c r="F54" t="s">
        <v>99</v>
      </c>
    </row>
    <row r="55" spans="3:6" x14ac:dyDescent="0.25">
      <c r="C55" t="s">
        <v>114</v>
      </c>
      <c r="D55" s="5">
        <v>5</v>
      </c>
      <c r="E55" t="s">
        <v>115</v>
      </c>
      <c r="F55" t="s">
        <v>120</v>
      </c>
    </row>
    <row r="56" spans="3:6" x14ac:dyDescent="0.25">
      <c r="C56"/>
      <c r="D56" s="7" t="s">
        <v>88</v>
      </c>
      <c r="E56" t="s">
        <v>89</v>
      </c>
      <c r="F56" t="s">
        <v>52</v>
      </c>
    </row>
    <row r="57" spans="3:6" x14ac:dyDescent="0.25">
      <c r="C57"/>
      <c r="D57" s="5"/>
    </row>
    <row r="58" spans="3:6" x14ac:dyDescent="0.25">
      <c r="C58"/>
      <c r="D58" s="5"/>
    </row>
    <row r="59" spans="3:6" x14ac:dyDescent="0.25">
      <c r="C59"/>
    </row>
    <row r="60" spans="3:6" x14ac:dyDescent="0.25">
      <c r="C60"/>
    </row>
    <row r="61" spans="3:6" x14ac:dyDescent="0.25">
      <c r="C61"/>
    </row>
    <row r="62" spans="3:6" x14ac:dyDescent="0.25">
      <c r="C62"/>
    </row>
    <row r="63" spans="3:6" ht="21" x14ac:dyDescent="0.35">
      <c r="C63" s="1" t="s">
        <v>58</v>
      </c>
      <c r="D63" s="3"/>
    </row>
    <row r="64" spans="3:6" x14ac:dyDescent="0.25">
      <c r="D64" s="2"/>
    </row>
    <row r="65" spans="3:6" x14ac:dyDescent="0.25">
      <c r="D65" s="2"/>
    </row>
    <row r="66" spans="3:6" x14ac:dyDescent="0.25">
      <c r="D66" s="2"/>
    </row>
    <row r="67" spans="3:6" x14ac:dyDescent="0.25">
      <c r="D67" s="2"/>
    </row>
    <row r="68" spans="3:6" ht="15.75" x14ac:dyDescent="0.25">
      <c r="C68" s="4" t="s">
        <v>29</v>
      </c>
      <c r="D68" s="4" t="s">
        <v>3</v>
      </c>
      <c r="E68" s="4" t="s">
        <v>2</v>
      </c>
      <c r="F68" s="4" t="s">
        <v>4</v>
      </c>
    </row>
    <row r="69" spans="3:6" x14ac:dyDescent="0.25">
      <c r="C69" t="s">
        <v>45</v>
      </c>
      <c r="D69" s="3">
        <v>0</v>
      </c>
      <c r="E69" t="s">
        <v>59</v>
      </c>
      <c r="F69" t="s">
        <v>92</v>
      </c>
    </row>
    <row r="70" spans="3:6" x14ac:dyDescent="0.25">
      <c r="C70" t="s">
        <v>51</v>
      </c>
      <c r="D70" s="3">
        <v>1</v>
      </c>
      <c r="E70" t="s">
        <v>60</v>
      </c>
      <c r="F70" t="s">
        <v>93</v>
      </c>
    </row>
    <row r="71" spans="3:6" x14ac:dyDescent="0.25">
      <c r="C71" t="s">
        <v>50</v>
      </c>
      <c r="D71" s="3">
        <v>2</v>
      </c>
      <c r="E71" t="s">
        <v>61</v>
      </c>
      <c r="F71" t="s">
        <v>94</v>
      </c>
    </row>
    <row r="72" spans="3:6" x14ac:dyDescent="0.25">
      <c r="C72" t="s">
        <v>47</v>
      </c>
      <c r="D72" s="3">
        <v>3</v>
      </c>
      <c r="E72" t="s">
        <v>62</v>
      </c>
      <c r="F72" t="s">
        <v>95</v>
      </c>
    </row>
    <row r="73" spans="3:6" x14ac:dyDescent="0.25">
      <c r="C73" t="s">
        <v>131</v>
      </c>
      <c r="D73" s="3">
        <v>3</v>
      </c>
      <c r="E73" t="s">
        <v>132</v>
      </c>
      <c r="F73" t="s">
        <v>133</v>
      </c>
    </row>
    <row r="74" spans="3:6" x14ac:dyDescent="0.25">
      <c r="C74"/>
      <c r="D74" s="6" t="s">
        <v>96</v>
      </c>
      <c r="E74" t="s">
        <v>89</v>
      </c>
      <c r="F74" t="s">
        <v>52</v>
      </c>
    </row>
    <row r="75" spans="3:6" x14ac:dyDescent="0.25">
      <c r="C75"/>
      <c r="D75" s="3"/>
    </row>
    <row r="76" spans="3:6" x14ac:dyDescent="0.25">
      <c r="C76"/>
      <c r="D76" s="3"/>
    </row>
    <row r="77" spans="3:6" x14ac:dyDescent="0.25">
      <c r="C77"/>
    </row>
    <row r="78" spans="3:6" x14ac:dyDescent="0.25">
      <c r="C78"/>
    </row>
    <row r="79" spans="3:6" x14ac:dyDescent="0.25">
      <c r="C79"/>
    </row>
    <row r="80" spans="3:6" x14ac:dyDescent="0.25">
      <c r="C80"/>
    </row>
    <row r="81" spans="3:6" ht="21" x14ac:dyDescent="0.35">
      <c r="C81" s="1"/>
      <c r="D81" s="3"/>
    </row>
    <row r="82" spans="3:6" x14ac:dyDescent="0.25">
      <c r="D82" s="2"/>
    </row>
    <row r="83" spans="3:6" x14ac:dyDescent="0.25">
      <c r="D83" s="2"/>
    </row>
    <row r="84" spans="3:6" x14ac:dyDescent="0.25">
      <c r="D84" s="2"/>
    </row>
    <row r="85" spans="3:6" x14ac:dyDescent="0.25">
      <c r="D85" s="2"/>
    </row>
    <row r="86" spans="3:6" ht="15.75" x14ac:dyDescent="0.25">
      <c r="C86" s="4"/>
      <c r="D86" s="4"/>
      <c r="E86" s="4"/>
      <c r="F86" s="4"/>
    </row>
    <row r="87" spans="3:6" x14ac:dyDescent="0.25">
      <c r="C87" s="5"/>
      <c r="D87" s="5"/>
    </row>
    <row r="88" spans="3:6" x14ac:dyDescent="0.25">
      <c r="C88" s="5"/>
      <c r="D88" s="5"/>
    </row>
    <row r="89" spans="3:6" x14ac:dyDescent="0.25">
      <c r="C89" s="5"/>
      <c r="D89" s="5"/>
    </row>
    <row r="90" spans="3:6" x14ac:dyDescent="0.25">
      <c r="C90" s="5"/>
      <c r="D90" s="5"/>
    </row>
    <row r="91" spans="3:6" x14ac:dyDescent="0.25">
      <c r="C91" s="5"/>
      <c r="D91" s="5"/>
    </row>
    <row r="92" spans="3:6" x14ac:dyDescent="0.25">
      <c r="C92" s="5"/>
      <c r="D92" s="5"/>
    </row>
    <row r="93" spans="3:6" x14ac:dyDescent="0.25">
      <c r="C93" s="5"/>
      <c r="D93" s="5"/>
    </row>
    <row r="94" spans="3:6" x14ac:dyDescent="0.25">
      <c r="C94" s="5"/>
      <c r="D94" s="5"/>
    </row>
    <row r="99" spans="3:6" ht="21" x14ac:dyDescent="0.35">
      <c r="C99" s="1" t="s">
        <v>69</v>
      </c>
      <c r="D99" s="3"/>
    </row>
    <row r="100" spans="3:6" x14ac:dyDescent="0.25">
      <c r="D100" s="2" t="s">
        <v>5</v>
      </c>
    </row>
    <row r="101" spans="3:6" x14ac:dyDescent="0.25">
      <c r="D101" s="2" t="s">
        <v>6</v>
      </c>
    </row>
    <row r="102" spans="3:6" x14ac:dyDescent="0.25">
      <c r="D102" s="2" t="s">
        <v>7</v>
      </c>
    </row>
    <row r="103" spans="3:6" x14ac:dyDescent="0.25">
      <c r="D103" s="2"/>
    </row>
    <row r="104" spans="3:6" ht="15.75" x14ac:dyDescent="0.25">
      <c r="C104" s="4" t="s">
        <v>29</v>
      </c>
      <c r="D104" s="4" t="s">
        <v>3</v>
      </c>
      <c r="E104" s="4" t="s">
        <v>2</v>
      </c>
      <c r="F104" s="4" t="s">
        <v>4</v>
      </c>
    </row>
    <row r="105" spans="3:6" x14ac:dyDescent="0.25">
      <c r="C105" s="5" t="s">
        <v>70</v>
      </c>
      <c r="D105" s="3">
        <v>0</v>
      </c>
      <c r="E105" t="s">
        <v>75</v>
      </c>
      <c r="F105" t="s">
        <v>76</v>
      </c>
    </row>
    <row r="106" spans="3:6" x14ac:dyDescent="0.25">
      <c r="C106" s="5" t="s">
        <v>86</v>
      </c>
      <c r="D106" s="3">
        <v>1</v>
      </c>
      <c r="E106" t="s">
        <v>77</v>
      </c>
      <c r="F106" t="s">
        <v>78</v>
      </c>
    </row>
    <row r="107" spans="3:6" x14ac:dyDescent="0.25">
      <c r="C107" s="5" t="s">
        <v>87</v>
      </c>
      <c r="D107" s="3">
        <v>2</v>
      </c>
      <c r="E107" t="s">
        <v>79</v>
      </c>
      <c r="F107" t="s">
        <v>97</v>
      </c>
    </row>
    <row r="108" spans="3:6" x14ac:dyDescent="0.25">
      <c r="C108" s="5" t="s">
        <v>23</v>
      </c>
      <c r="D108" s="3">
        <v>3</v>
      </c>
      <c r="E108" t="s">
        <v>68</v>
      </c>
      <c r="F108" t="s">
        <v>84</v>
      </c>
    </row>
    <row r="109" spans="3:6" x14ac:dyDescent="0.25">
      <c r="C109" s="5" t="s">
        <v>71</v>
      </c>
      <c r="D109" s="3">
        <v>4</v>
      </c>
      <c r="E109" t="s">
        <v>64</v>
      </c>
      <c r="F109" t="s">
        <v>80</v>
      </c>
    </row>
    <row r="110" spans="3:6" x14ac:dyDescent="0.25">
      <c r="C110" s="5" t="s">
        <v>72</v>
      </c>
      <c r="D110" s="3">
        <v>5</v>
      </c>
      <c r="E110" t="s">
        <v>65</v>
      </c>
      <c r="F110" t="s">
        <v>81</v>
      </c>
    </row>
    <row r="111" spans="3:6" x14ac:dyDescent="0.25">
      <c r="C111" s="5" t="s">
        <v>73</v>
      </c>
      <c r="D111" s="3">
        <v>6</v>
      </c>
      <c r="E111" t="s">
        <v>66</v>
      </c>
      <c r="F111" t="s">
        <v>82</v>
      </c>
    </row>
    <row r="112" spans="3:6" x14ac:dyDescent="0.25">
      <c r="C112" s="5" t="s">
        <v>74</v>
      </c>
      <c r="D112" s="3">
        <v>7</v>
      </c>
      <c r="E112" t="s">
        <v>67</v>
      </c>
      <c r="F112" t="s">
        <v>83</v>
      </c>
    </row>
    <row r="113" spans="3:6" x14ac:dyDescent="0.25">
      <c r="D113" s="6" t="s">
        <v>40</v>
      </c>
      <c r="E113" t="s">
        <v>85</v>
      </c>
      <c r="F113" t="s">
        <v>52</v>
      </c>
    </row>
    <row r="119" spans="3:6" ht="21" x14ac:dyDescent="0.35">
      <c r="C119" s="1" t="s">
        <v>103</v>
      </c>
    </row>
    <row r="124" spans="3:6" ht="15.75" x14ac:dyDescent="0.25">
      <c r="D124" s="4" t="s">
        <v>43</v>
      </c>
      <c r="E124" s="4" t="s">
        <v>102</v>
      </c>
      <c r="F124" s="4" t="s">
        <v>107</v>
      </c>
    </row>
    <row r="125" spans="3:6" x14ac:dyDescent="0.25">
      <c r="D125" s="3">
        <v>0</v>
      </c>
      <c r="E125" t="s">
        <v>70</v>
      </c>
      <c r="F125" t="s">
        <v>121</v>
      </c>
    </row>
    <row r="126" spans="3:6" x14ac:dyDescent="0.25">
      <c r="D126" s="3">
        <v>1</v>
      </c>
      <c r="E126" t="s">
        <v>87</v>
      </c>
      <c r="F126" t="s">
        <v>122</v>
      </c>
    </row>
    <row r="127" spans="3:6" x14ac:dyDescent="0.25">
      <c r="D127" s="3">
        <v>2</v>
      </c>
      <c r="E127" t="s">
        <v>104</v>
      </c>
      <c r="F127" t="s">
        <v>108</v>
      </c>
    </row>
    <row r="128" spans="3:6" x14ac:dyDescent="0.25">
      <c r="D128" s="3">
        <v>3</v>
      </c>
      <c r="E128" t="s">
        <v>104</v>
      </c>
      <c r="F128" t="s">
        <v>109</v>
      </c>
    </row>
    <row r="129" spans="3:6" x14ac:dyDescent="0.25">
      <c r="D129" s="3">
        <v>4</v>
      </c>
      <c r="E129" t="s">
        <v>105</v>
      </c>
      <c r="F129" t="s">
        <v>112</v>
      </c>
    </row>
    <row r="130" spans="3:6" x14ac:dyDescent="0.25">
      <c r="D130" s="3">
        <v>5</v>
      </c>
      <c r="E130" t="s">
        <v>105</v>
      </c>
      <c r="F130" t="s">
        <v>112</v>
      </c>
    </row>
    <row r="131" spans="3:6" x14ac:dyDescent="0.25">
      <c r="D131" s="3">
        <v>6</v>
      </c>
      <c r="E131" t="s">
        <v>106</v>
      </c>
      <c r="F131" t="s">
        <v>110</v>
      </c>
    </row>
    <row r="132" spans="3:6" x14ac:dyDescent="0.25">
      <c r="D132" s="3">
        <v>7</v>
      </c>
      <c r="E132" t="s">
        <v>106</v>
      </c>
      <c r="F132" t="s">
        <v>110</v>
      </c>
    </row>
    <row r="133" spans="3:6" x14ac:dyDescent="0.25">
      <c r="D133" s="3">
        <v>8</v>
      </c>
      <c r="E133" t="s">
        <v>41</v>
      </c>
      <c r="F133" t="s">
        <v>111</v>
      </c>
    </row>
    <row r="134" spans="3:6" x14ac:dyDescent="0.25">
      <c r="D134" s="3">
        <v>9</v>
      </c>
      <c r="E134" t="s">
        <v>41</v>
      </c>
      <c r="F134" t="s">
        <v>111</v>
      </c>
    </row>
    <row r="136" spans="3:6" x14ac:dyDescent="0.25">
      <c r="C136"/>
    </row>
    <row r="137" spans="3:6" x14ac:dyDescent="0.25">
      <c r="C137"/>
    </row>
    <row r="138" spans="3:6" x14ac:dyDescent="0.25">
      <c r="C138"/>
    </row>
    <row r="139" spans="3:6" x14ac:dyDescent="0.25">
      <c r="C139"/>
    </row>
    <row r="140" spans="3:6" x14ac:dyDescent="0.25">
      <c r="C140"/>
    </row>
    <row r="141" spans="3:6" x14ac:dyDescent="0.25">
      <c r="C141"/>
    </row>
    <row r="142" spans="3:6" x14ac:dyDescent="0.25">
      <c r="C142"/>
    </row>
    <row r="143" spans="3:6" x14ac:dyDescent="0.25">
      <c r="C143"/>
    </row>
    <row r="144" spans="3:6"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Evžen Šteif</cp:lastModifiedBy>
  <dcterms:created xsi:type="dcterms:W3CDTF">2006-09-16T00:00:00Z</dcterms:created>
  <dcterms:modified xsi:type="dcterms:W3CDTF">2024-03-22T13:23:48Z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