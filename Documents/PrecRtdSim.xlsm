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D:\work\gitlab\fw-prec-rtd-sim\Documents\"/>
    </mc:Choice>
  </mc:AlternateContent>
  <xr:revisionPtr revIDLastSave="0" documentId="13_ncr:1_{35D56065-9FE8-4D0E-A5BC-FA950AE15294}" xr6:coauthVersionLast="47" xr6:coauthVersionMax="47" xr10:uidLastSave="{00000000-0000-0000-0000-000000000000}"/>
  <bookViews>
    <workbookView xWindow="22860" yWindow="810" windowWidth="26160" windowHeight="20745"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9" i="25" l="1"/>
  <c r="K27" i="25"/>
  <c r="K21" i="25"/>
  <c r="K22" i="25"/>
  <c r="K23" i="25"/>
  <c r="K24" i="25"/>
  <c r="K25" i="25"/>
  <c r="K26" i="25"/>
  <c r="I74" i="25"/>
  <c r="I75" i="25" s="1"/>
  <c r="I76" i="25" s="1"/>
  <c r="I77" i="25" s="1"/>
  <c r="I78" i="25" s="1"/>
  <c r="I79" i="25" s="1"/>
  <c r="K69" i="25"/>
  <c r="L69" i="25"/>
  <c r="I69" i="25"/>
  <c r="I70" i="25" s="1"/>
  <c r="L73" i="25"/>
  <c r="L74" i="25"/>
  <c r="L75" i="25"/>
  <c r="K82" i="25"/>
  <c r="K64" i="25"/>
  <c r="K68" i="25"/>
  <c r="L79" i="25"/>
  <c r="L78" i="25"/>
  <c r="L77" i="25"/>
  <c r="L76" i="25"/>
  <c r="L67" i="25"/>
  <c r="L66" i="25"/>
  <c r="L65" i="25"/>
  <c r="I65" i="25"/>
  <c r="K65" i="25" s="1"/>
  <c r="L64" i="25"/>
  <c r="L82" i="25"/>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I59" i="25" s="1"/>
  <c r="I60" i="25" s="1"/>
  <c r="K60" i="25" s="1"/>
  <c r="L29" i="25"/>
  <c r="F9" i="25"/>
  <c r="F8" i="25"/>
  <c r="K70" i="25" l="1"/>
  <c r="I71" i="25"/>
  <c r="K44" i="25"/>
  <c r="I66" i="25"/>
  <c r="I67" i="25" s="1"/>
  <c r="K67" i="25" s="1"/>
  <c r="K56" i="25"/>
  <c r="K53" i="25"/>
  <c r="K49" i="25"/>
  <c r="K57" i="25"/>
  <c r="K48" i="25"/>
  <c r="K58" i="25"/>
  <c r="K50" i="25"/>
  <c r="K66" i="25"/>
  <c r="K55" i="25"/>
  <c r="K47" i="25"/>
  <c r="K54" i="25"/>
  <c r="K46" i="25"/>
  <c r="K45" i="25"/>
  <c r="K52" i="25"/>
  <c r="K59" i="25"/>
  <c r="K51" i="25"/>
  <c r="L41" i="25"/>
  <c r="L40" i="25"/>
  <c r="L39" i="25"/>
  <c r="L38" i="25"/>
  <c r="L36" i="25"/>
  <c r="L35" i="25"/>
  <c r="L34" i="25"/>
  <c r="L33" i="25"/>
  <c r="L28" i="25"/>
  <c r="L27" i="25"/>
  <c r="L20" i="25"/>
  <c r="L19" i="25"/>
  <c r="L18" i="25"/>
  <c r="K38" i="25"/>
  <c r="K33" i="25"/>
  <c r="F10" i="25"/>
  <c r="K71" i="25" l="1"/>
  <c r="I72" i="25"/>
  <c r="I39" i="25"/>
  <c r="K72" i="25" l="1"/>
  <c r="I73" i="25"/>
  <c r="I40" i="25"/>
  <c r="K39" i="25"/>
  <c r="K73" i="25" l="1"/>
  <c r="I41" i="25"/>
  <c r="K41" i="25" s="1"/>
  <c r="K40" i="25"/>
  <c r="K74" i="25" l="1"/>
  <c r="I18" i="25"/>
  <c r="F12" i="25"/>
  <c r="F7" i="25"/>
  <c r="K75" i="25" l="1"/>
  <c r="K18" i="25"/>
  <c r="I19" i="25"/>
  <c r="I20" i="25" s="1"/>
  <c r="I21" i="25" s="1"/>
  <c r="I22" i="25" s="1"/>
  <c r="I23" i="25" s="1"/>
  <c r="K76" i="25" l="1"/>
  <c r="I24" i="25"/>
  <c r="I25" i="25"/>
  <c r="I26" i="25" s="1"/>
  <c r="I27" i="25" s="1"/>
  <c r="I28" i="25" s="1"/>
  <c r="I29" i="25" s="1"/>
  <c r="K19" i="25"/>
  <c r="I34" i="25"/>
  <c r="K34" i="25" s="1"/>
  <c r="K77" i="25" l="1"/>
  <c r="K20" i="25"/>
  <c r="I35" i="25"/>
  <c r="K78" i="25" l="1"/>
  <c r="I36" i="25"/>
  <c r="K36" i="25" s="1"/>
  <c r="K35" i="25"/>
  <c r="K79" i="25" l="1"/>
  <c r="K28" i="25"/>
</calcChain>
</file>

<file path=xl/sharedStrings.xml><?xml version="1.0" encoding="utf-8"?>
<sst xmlns="http://schemas.openxmlformats.org/spreadsheetml/2006/main" count="474" uniqueCount="296">
  <si>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</si>
  <si>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</si>
  <si>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</si>
  <si>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</si>
  <si>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</si>
  <si>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</si>
  <si>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</si>
  <si>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</si>
  <si>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</si>
  <si>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</si>
  <si>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</si>
  <si>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</si>
  <si>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</si>
  <si>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</si>
  <si>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</si>
  <si>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</si>
  <si>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</si>
  <si>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</si>
  <si>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</si>
  <si>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</si>
  <si>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</si>
  <si>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</si>
  <si>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</si>
  <si>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</si>
  <si>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</si>
  <si>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</si>
  <si>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</si>
  <si>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</si>
  <si>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</si>
  <si>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</si>
  <si>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</si>
  <si>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</si>
  <si>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</si>
  <si>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</si>
  <si>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</si>
  <si>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</si>
  <si>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</si>
  <si>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</si>
  <si>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</si>
  <si>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</si>
  <si>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</si>
  <si>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</si>
  <si>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</si>
  <si>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</si>
  <si>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</si>
  <si>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</si>
  <si>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</si>
  <si>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</si>
  <si>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</si>
  <si>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</si>
  <si>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</si>
  <si>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</si>
  <si>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</si>
  <si>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</si>
  <si>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</si>
  <si>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</si>
  <si>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</si>
  <si>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</si>
  <si>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</si>
  <si>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</si>
  <si>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</si>
  <si>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</si>
  <si>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</si>
  <si>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</si>
  <si>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</si>
  <si>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</si>
  <si>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</si>
  <si>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</si>
  <si>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</si>
  <si>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</si>
  <si>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</si>
  <si>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</si>
  <si>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</si>
  <si>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</si>
  <si>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</si>
  <si>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</si>
  <si>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</si>
  <si>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</si>
  <si>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</si>
  <si>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</si>
  <si>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</si>
  <si>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</si>
  <si>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</si>
  <si>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</si>
  <si>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</si>
  <si>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</si>
  <si>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</si>
  <si>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</si>
  <si>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</si>
  <si>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</si>
  <si>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</si>
  <si>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</si>
  <si>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</si>
  <si>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</si>
  <si>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</si>
  <si>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</si>
  <si>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</si>
  <si>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</si>
  <si>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</si>
  <si>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</si>
  <si>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</si>
  <si>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</si>
  <si>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</si>
  <si>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</si>
  <si>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</si>
  <si>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</si>
  <si>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</si>
  <si>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</si>
  <si>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</si>
  <si>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</si>
  <si>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</si>
  <si>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</si>
  <si>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</si>
  <si>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</si>
  <si>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</si>
  <si>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</si>
  <si>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</si>
  <si>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</si>
  <si>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</si>
  <si>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</si>
  <si>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</si>
  <si>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</si>
  <si>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</si>
  <si>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</si>
  <si>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</si>
  <si>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</si>
  <si>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</si>
  <si>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</si>
  <si>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</si>
  <si>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</si>
  <si>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</si>
  <si>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</si>
  <si>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</si>
  <si>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</si>
  <si>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</si>
  <si>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</si>
  <si>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</si>
  <si>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</si>
  <si>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</si>
  <si>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</si>
  <si>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</si>
  <si>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</si>
  <si>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</si>
  <si>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</si>
  <si>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</si>
  <si>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</si>
  <si>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</si>
  <si>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</si>
  <si>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</si>
  <si>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</si>
  <si>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</si>
  <si>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</si>
  <si>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</si>
  <si>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</si>
  <si>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</si>
  <si>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</si>
  <si>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</si>
  <si>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</si>
  <si>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</si>
  <si>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</si>
  <si>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</si>
  <si>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</si>
  <si>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</si>
  <si>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</si>
  <si>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</si>
  <si>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</si>
  <si>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</si>
  <si>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</si>
  <si>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</si>
  <si>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</si>
  <si>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</si>
  <si>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</si>
  <si>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</si>
  <si>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</si>
  <si>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</si>
  <si>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</si>
  <si>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</si>
  <si>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</si>
  <si>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</si>
  <si>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</si>
  <si>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</si>
  <si>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</si>
  <si>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D:\work\gitlab\fw-prec-rtd-sim\Documents\txts\PrecRtdSim_registers.json</t>
  </si>
  <si>
    <t>D:\work\gitlab\fw-prec-rtd-sim\Documents\txts\PrecRtdSimRegs.py</t>
  </si>
  <si>
    <t>D:\work\gitlab\fw-prec-rtd-sim\Documents\txts\PrecRtdSim_Modbus.json</t>
  </si>
  <si>
    <t>D:\work\gitlab\fw-prec-rtd-sim\Documents\txts\PrecRtdSim_Registers.json</t>
  </si>
  <si>
    <t>CALIB</t>
  </si>
  <si>
    <t>CALIBRATION</t>
  </si>
  <si>
    <t>COM</t>
  </si>
  <si>
    <t>COMMUNICATION</t>
  </si>
  <si>
    <t>Modbus communication parameters</t>
  </si>
  <si>
    <t>Calibration data and handling</t>
  </si>
  <si>
    <t>RTD</t>
  </si>
  <si>
    <t>RTD_SIMULATOR</t>
  </si>
  <si>
    <t>RTD simulation registers</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</si>
  <si>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</si>
  <si>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</si>
  <si>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</si>
  <si>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</si>
  <si>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</si>
  <si>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</si>
  <si>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</si>
  <si>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</si>
  <si>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</si>
  <si>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</si>
  <si>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</si>
  <si>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</si>
  <si>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</si>
  <si>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</si>
  <si>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</si>
  <si>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</si>
  <si>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</si>
  <si>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</si>
  <si>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</si>
  <si>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</si>
  <si>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</si>
  <si>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</si>
  <si>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</si>
  <si>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</si>
  <si>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</si>
  <si>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</si>
  <si>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</si>
  <si>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</si>
  <si>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</si>
  <si>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</si>
  <si>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</si>
  <si>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</si>
  <si>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</si>
  <si>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</si>
  <si>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</si>
  <si>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</si>
  <si>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</si>
  <si>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</si>
  <si>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</si>
  <si>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</si>
  <si>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</si>
  <si>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</si>
  <si>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</si>
  <si>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</si>
  <si>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</si>
  <si>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</si>
  <si>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</si>
  <si>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</si>
  <si>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</si>
  <si>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</si>
  <si>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</si>
  <si>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</si>
  <si>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</si>
  <si>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</si>
  <si>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MODE</t>
  </si>
  <si>
    <t>Calibration mode</t>
  </si>
  <si>
    <t>Set calibration resistance values to all channels.
Value 0 - calibration disabled
Value 1 - 8 - 100k low values 0 - 7
Value 9 - 16 - 100k FS values 31, 63, … 255
Value 17 - 24 - 2 x 1k FS values 31, 63, … 255</t>
  </si>
  <si>
    <t>PT_TEMPER_CORR</t>
  </si>
  <si>
    <t>PT temperature correction</t>
  </si>
  <si>
    <t>°C</t>
  </si>
  <si>
    <t>F32</t>
  </si>
  <si>
    <t>Temperature correction that is added to requested temperature when emulating PT sensors</t>
  </si>
  <si>
    <t>RESIST_CORR</t>
  </si>
  <si>
    <t>Resistance correction</t>
  </si>
  <si>
    <t>Ohm</t>
  </si>
  <si>
    <t>Resistance correction that is added to requested resistance in all emulation modes</t>
  </si>
  <si>
    <t>NTC_BETA</t>
  </si>
  <si>
    <t>NTC beta</t>
  </si>
  <si>
    <t>NTC beta coefficient for computation</t>
  </si>
  <si>
    <t>NTC_STOCK_RES</t>
  </si>
  <si>
    <t>NTC stock resistance</t>
  </si>
  <si>
    <t>NTC stock resistance at 25 °C (10000 for common 10k NTC)</t>
  </si>
  <si>
    <t>PT_STOCK_RES</t>
  </si>
  <si>
    <t>Platinum stock resistance</t>
  </si>
  <si>
    <t>Platinum stock resistance at 0 °C
Value 100 - PT100
Value 500 - PT500
Value 1000 - PT1000</t>
  </si>
  <si>
    <t>Resistance that should be set at RTD port 1</t>
  </si>
  <si>
    <t>Set temperature for RTD port 1</t>
  </si>
  <si>
    <t>SLEW_RATE</t>
  </si>
  <si>
    <t>Temperature slew rate</t>
  </si>
  <si>
    <t>°C/s</t>
  </si>
  <si>
    <t>Slew rate of temperature change in temperature emulation mode. Temperature is modified proportionally to eliminate large steps.
Zero value disables this feature and temperature changes immediately in a single step.</t>
  </si>
  <si>
    <t>Emulation mode</t>
  </si>
  <si>
    <t>HA 100</t>
  </si>
  <si>
    <t>Mode of RTD emulation. Selected mode is common for all 4 channels</t>
  </si>
  <si>
    <t>Direct resistance</t>
  </si>
  <si>
    <t>Set resistance is directly applied to RTD ports</t>
  </si>
  <si>
    <t>NTC thermistor</t>
  </si>
  <si>
    <t>Set temperature is used for NTC resistance computation</t>
  </si>
  <si>
    <t>Platinum RTD</t>
  </si>
  <si>
    <t>Set temperature is used for PT1000 resistance computation</t>
  </si>
  <si>
    <t>RESISTANCE</t>
  </si>
  <si>
    <t>TEMPERATURE</t>
  </si>
  <si>
    <t>Set resistance</t>
  </si>
  <si>
    <t>Temperature</t>
  </si>
  <si>
    <t>RTD_MD_RESISTANCE</t>
  </si>
  <si>
    <t>RTD_MD_NTC</t>
  </si>
  <si>
    <t>RTD_MD_PLATINUM</t>
  </si>
  <si>
    <t>D:\work\gitlab\fw-prec-rtd-sim\Documents\txts\PrecRtdSim_Define.txt</t>
  </si>
  <si>
    <t>D:\work\gitlab\fw-prec-rtd-sim\Documents\txts\PrecRtdSim_Storage.txt</t>
  </si>
  <si>
    <t>D:\work\gitlab\fw-prec-rtd-sim\Documents\txts\PrecRtdSim_Factory.txt</t>
  </si>
  <si>
    <t>D:\work\gitlab\fw-prec-rtd-sim\Documents\txts\reg_map.c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</si>
</sst>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8">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11</xdr:col>
          <xdr:colOff>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11</xdr:col>
          <xdr:colOff>9525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11</xdr:col>
          <xdr:colOff>9525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11</xdr:col>
          <xdr:colOff>9525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2"/>
  <sheetViews>
    <sheetView tabSelected="1" topLeftCell="A9" zoomScaleNormal="100" workbookViewId="0">
      <selection activeCell="M26" sqref="M26"/>
    </sheetView>
  </sheetViews>
  <sheetFormatPr defaultColWidth="9.140625" defaultRowHeight="15" x14ac:dyDescent="0.25"/>
  <cols>
    <col min="1" max="1" width="2.28515625" style="12" customWidth="1"/>
    <col min="2" max="3" width="2.140625" style="12" customWidth="1"/>
    <col min="4" max="4" width="1.5703125" style="12" customWidth="1"/>
    <col min="5" max="5" width="19.5703125" style="12" customWidth="1"/>
    <col min="6" max="6" width="8.42578125" style="10" customWidth="1"/>
    <col min="7" max="7" width="6.85546875" style="10" customWidth="1"/>
    <col min="8" max="8" width="5.42578125" style="10" customWidth="1"/>
    <col min="9" max="9" width="8.42578125" style="10" customWidth="1"/>
    <col min="10" max="10" width="7.85546875" style="10" customWidth="1"/>
    <col min="11" max="11" width="11.5703125" style="12" customWidth="1"/>
    <col min="12" max="12" width="26.7109375"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295</v>
      </c>
      <c r="T3" s="31"/>
    </row>
    <row r="4" spans="1:26" ht="24.95" customHeight="1" x14ac:dyDescent="0.25">
      <c r="D4" s="31" t="s">
        <v>18</v>
      </c>
      <c r="E4" s="31"/>
      <c r="F4" s="31" t="s">
        <v>113</v>
      </c>
      <c r="J4" s="3" t="s">
        <v>1</v>
      </c>
      <c r="K4" s="9" t="s">
        <v>5</v>
      </c>
      <c r="L4" s="8" t="s">
        <v>292</v>
      </c>
      <c r="M4" s="11"/>
      <c r="U4" s="12" t="s">
        <v>1</v>
      </c>
      <c r="Z4" s="10"/>
    </row>
    <row r="5" spans="1:26" ht="24.95" customHeight="1" x14ac:dyDescent="0.25">
      <c r="D5" s="31" t="s">
        <v>19</v>
      </c>
      <c r="E5" s="31"/>
      <c r="F5" s="31" t="s">
        <v>20</v>
      </c>
      <c r="J5" s="3" t="s">
        <v>1</v>
      </c>
      <c r="K5" s="9" t="s">
        <v>100</v>
      </c>
      <c r="L5" s="8" t="s">
        <v>185</v>
      </c>
      <c r="M5" s="11"/>
      <c r="U5" s="12" t="s">
        <v>1</v>
      </c>
      <c r="Z5" s="10"/>
    </row>
    <row r="6" spans="1:26" ht="24.95" customHeight="1" x14ac:dyDescent="0.25">
      <c r="D6" s="31" t="s">
        <v>63</v>
      </c>
      <c r="E6" s="13"/>
      <c r="F6" s="32">
        <v>1</v>
      </c>
      <c r="J6" s="3" t="s">
        <v>1</v>
      </c>
      <c r="K6" s="9" t="s">
        <v>17</v>
      </c>
      <c r="L6" s="8" t="s">
        <v>293</v>
      </c>
      <c r="M6" s="11"/>
      <c r="U6" s="12" t="s">
        <v>1</v>
      </c>
      <c r="Z6" s="10"/>
    </row>
    <row r="7" spans="1:26" ht="24.95" customHeight="1" x14ac:dyDescent="0.25">
      <c r="D7" s="31" t="s">
        <v>143</v>
      </c>
      <c r="E7" s="13"/>
      <c r="F7" s="31" t="str">
        <f>GetWorkName()</f>
        <v>PrecRtdSim</v>
      </c>
      <c r="J7" s="3" t="s">
        <v>1</v>
      </c>
      <c r="K7" s="9" t="s">
        <v>21</v>
      </c>
      <c r="L7" s="8" t="s">
        <v>294</v>
      </c>
      <c r="M7" s="11"/>
      <c r="U7" s="12" t="s">
        <v>1</v>
      </c>
      <c r="Z7" s="10"/>
    </row>
    <row r="8" spans="1:26" ht="24.95" customHeight="1" x14ac:dyDescent="0.25">
      <c r="D8" s="31" t="s">
        <v>117</v>
      </c>
      <c r="E8" s="13"/>
      <c r="F8" s="31" t="str">
        <f>GetPath()&amp;"\..\Firmware\PrecRtdSim-APP\Core\Common\"</f>
        <v>D:\work\gitlab\fw-prec-rtd-sim\Documents\..\Firmware\PrecRtdSim-APP\Core\Common\</v>
      </c>
      <c r="J8" s="3" t="s">
        <v>1</v>
      </c>
      <c r="K8" s="9" t="s">
        <v>145</v>
      </c>
      <c r="L8" s="8" t="s">
        <v>184</v>
      </c>
      <c r="M8" s="11"/>
      <c r="U8" s="12" t="s">
        <v>1</v>
      </c>
      <c r="Z8" s="10"/>
    </row>
    <row r="9" spans="1:26" ht="24.95" customHeight="1" x14ac:dyDescent="0.25">
      <c r="D9" s="31" t="s">
        <v>148</v>
      </c>
      <c r="E9" s="13"/>
      <c r="F9" s="31" t="str">
        <f>GetPath()&amp;"\..\Firmware\PrecRtdSim-APP\Core\Serial\"</f>
        <v>D:\work\gitlab\fw-prec-rtd-sim\Documents\..\Firmware\PrecRtdSim-APP\Core\Serial\</v>
      </c>
      <c r="J9" s="3"/>
      <c r="K9" s="9" t="s">
        <v>1</v>
      </c>
      <c r="L9" s="8" t="s">
        <v>183</v>
      </c>
      <c r="M9" s="11"/>
      <c r="Z9" s="10"/>
    </row>
    <row r="10" spans="1:26" ht="24.95" customHeight="1" x14ac:dyDescent="0.25">
      <c r="D10" s="31" t="s">
        <v>153</v>
      </c>
      <c r="E10" s="13"/>
      <c r="F10" s="31" t="str">
        <f>GetPath()&amp;"\..\Tests\prec-rtd-sim\"</f>
        <v>D:\work\gitlab\fw-prec-rtd-sim\Documents\..\Tests\prec-rtd-sim\</v>
      </c>
      <c r="K10" s="9" t="s">
        <v>154</v>
      </c>
      <c r="L10" s="8" t="s">
        <v>182</v>
      </c>
      <c r="M10" s="11"/>
    </row>
    <row r="11" spans="1:26" ht="24.75" customHeight="1" x14ac:dyDescent="0.25">
      <c r="D11" s="31" t="s">
        <v>155</v>
      </c>
      <c r="F11" s="31"/>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45"/>
      <c r="B16" s="45"/>
      <c r="C16" s="44"/>
      <c r="D16" s="47" t="s">
        <v>8</v>
      </c>
      <c r="E16" s="49" t="s">
        <v>33</v>
      </c>
      <c r="F16" s="42" t="s">
        <v>10</v>
      </c>
      <c r="G16" s="42" t="s">
        <v>39</v>
      </c>
      <c r="H16" s="42" t="s">
        <v>11</v>
      </c>
      <c r="I16" s="47" t="s">
        <v>0</v>
      </c>
      <c r="J16" s="42" t="s">
        <v>13</v>
      </c>
      <c r="K16" s="47" t="s">
        <v>16</v>
      </c>
      <c r="L16" s="47" t="s">
        <v>2</v>
      </c>
      <c r="M16" s="55" t="s">
        <v>134</v>
      </c>
      <c r="N16" s="42" t="s">
        <v>14</v>
      </c>
      <c r="O16" s="52" t="s">
        <v>118</v>
      </c>
      <c r="P16" s="52" t="s">
        <v>119</v>
      </c>
      <c r="Q16" s="52" t="s">
        <v>123</v>
      </c>
      <c r="R16" s="52" t="s">
        <v>149</v>
      </c>
      <c r="S16" s="54" t="s">
        <v>101</v>
      </c>
      <c r="T16" s="51" t="s">
        <v>4</v>
      </c>
    </row>
    <row r="17" spans="1:20" ht="15" customHeight="1" x14ac:dyDescent="0.25">
      <c r="A17" s="46"/>
      <c r="B17" s="46"/>
      <c r="C17" s="44"/>
      <c r="D17" s="48"/>
      <c r="E17" s="50"/>
      <c r="F17" s="43"/>
      <c r="G17" s="43"/>
      <c r="H17" s="43"/>
      <c r="I17" s="48"/>
      <c r="J17" s="43"/>
      <c r="K17" s="48"/>
      <c r="L17" s="48"/>
      <c r="M17" s="56"/>
      <c r="N17" s="48"/>
      <c r="O17" s="53"/>
      <c r="P17" s="53"/>
      <c r="Q17" s="57"/>
      <c r="R17" s="57"/>
      <c r="S17" s="53"/>
      <c r="T17" s="50"/>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195</v>
      </c>
      <c r="M24" t="s">
        <v>196</v>
      </c>
      <c r="N24" s="29"/>
      <c r="O24" s="29"/>
      <c r="P24" s="29"/>
      <c r="Q24" s="29"/>
      <c r="R24" s="29"/>
      <c r="T24" t="s">
        <v>197</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90" x14ac:dyDescent="0.2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2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25">
      <c r="D29" s="40"/>
      <c r="E29" t="s">
        <v>198</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199</v>
      </c>
      <c r="N29" s="29"/>
      <c r="O29" s="29">
        <v>0</v>
      </c>
      <c r="P29" s="3" t="s">
        <v>200</v>
      </c>
      <c r="Q29" s="29"/>
      <c r="R29" s="29"/>
      <c r="T29" t="s">
        <v>201</v>
      </c>
    </row>
    <row r="30" spans="1:20" x14ac:dyDescent="0.25">
      <c r="A30" s="34"/>
      <c r="D30" s="14"/>
      <c r="E30" s="2"/>
      <c r="F30" s="3"/>
      <c r="G30" s="5"/>
      <c r="H30" s="18"/>
      <c r="I30" s="14"/>
      <c r="J30" s="29"/>
      <c r="K30" s="10"/>
      <c r="M30" s="2"/>
      <c r="Q30" s="29"/>
      <c r="R30" s="3"/>
      <c r="S30" s="29"/>
      <c r="T30" s="35"/>
    </row>
    <row r="31" spans="1:20" x14ac:dyDescent="0.25">
      <c r="A31" s="34"/>
      <c r="D31" s="14"/>
      <c r="E31" s="2"/>
      <c r="F31" s="3"/>
      <c r="G31" s="5"/>
      <c r="H31" s="18"/>
      <c r="I31" s="14"/>
      <c r="J31" s="29"/>
      <c r="K31" s="10"/>
      <c r="M31" s="2"/>
      <c r="Q31" s="29"/>
      <c r="R31" s="3"/>
      <c r="S31" s="29"/>
      <c r="T31" s="35"/>
    </row>
    <row r="32" spans="1:20" x14ac:dyDescent="0.25">
      <c r="D32" s="14"/>
      <c r="K32" s="10"/>
      <c r="R32" s="3"/>
    </row>
    <row r="33" spans="1:23" x14ac:dyDescent="0.2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3" x14ac:dyDescent="0.2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3" x14ac:dyDescent="0.2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3" x14ac:dyDescent="0.2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3" x14ac:dyDescent="0.25">
      <c r="D37" s="14"/>
      <c r="E37" s="11"/>
      <c r="F37" s="14"/>
      <c r="G37" s="5"/>
      <c r="H37" s="18"/>
      <c r="I37" s="14"/>
      <c r="J37" s="14"/>
      <c r="K37" s="10"/>
      <c r="M37"/>
      <c r="O37" s="3"/>
      <c r="P37" s="3"/>
      <c r="R37" s="29"/>
      <c r="T37"/>
    </row>
    <row r="38" spans="1:23" ht="15" customHeight="1" x14ac:dyDescent="0.2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3" x14ac:dyDescent="0.2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3" x14ac:dyDescent="0.2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3" x14ac:dyDescent="0.2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3" x14ac:dyDescent="0.25">
      <c r="D42" s="15"/>
      <c r="E42" s="2"/>
      <c r="F42" s="5"/>
      <c r="G42" s="5"/>
      <c r="H42" s="18"/>
      <c r="I42" s="14"/>
      <c r="J42" s="14"/>
      <c r="K42" s="10"/>
      <c r="L42" s="3"/>
      <c r="M42"/>
      <c r="R42" s="29"/>
      <c r="T42"/>
    </row>
    <row r="43" spans="1:23" s="34" customFormat="1" x14ac:dyDescent="0.25">
      <c r="B43" s="12"/>
      <c r="C43" s="12"/>
      <c r="D43"/>
      <c r="E43"/>
      <c r="F43" s="3"/>
      <c r="G43" s="3"/>
      <c r="H43" s="3"/>
      <c r="I43" s="33"/>
      <c r="J43" s="29"/>
      <c r="K43" s="29"/>
      <c r="L43" s="29"/>
      <c r="M43" s="21"/>
      <c r="N43" s="29"/>
      <c r="O43" s="3"/>
      <c r="P43" s="3"/>
      <c r="Q43" s="3"/>
      <c r="R43" s="3"/>
      <c r="S43"/>
      <c r="T43"/>
      <c r="U43"/>
      <c r="V43"/>
      <c r="W43"/>
    </row>
    <row r="44" spans="1:23" s="34" customFormat="1" x14ac:dyDescent="0.25">
      <c r="D44" s="40"/>
      <c r="E44" s="2" t="s">
        <v>202</v>
      </c>
      <c r="F44" s="5" t="s">
        <v>188</v>
      </c>
      <c r="G44" s="3" t="s">
        <v>114</v>
      </c>
      <c r="H44" s="18" t="s">
        <v>47</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203</v>
      </c>
      <c r="N44" s="29">
        <v>1</v>
      </c>
      <c r="O44" s="29">
        <v>0</v>
      </c>
      <c r="P44" s="29">
        <v>4</v>
      </c>
      <c r="Q44" s="29"/>
      <c r="R44" s="29"/>
      <c r="S44" s="29"/>
      <c r="T44" t="s">
        <v>204</v>
      </c>
    </row>
    <row r="45" spans="1:23" s="34" customFormat="1" x14ac:dyDescent="0.25">
      <c r="D45" s="40"/>
      <c r="F45" s="5" t="s">
        <v>188</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205</v>
      </c>
      <c r="M45" s="41">
        <v>9600</v>
      </c>
      <c r="N45" s="29"/>
      <c r="O45" s="29"/>
      <c r="P45" s="29"/>
      <c r="Q45" s="29"/>
      <c r="R45" s="29"/>
      <c r="S45" s="29"/>
      <c r="T45" t="s">
        <v>206</v>
      </c>
    </row>
    <row r="46" spans="1:23" s="34" customFormat="1" x14ac:dyDescent="0.25">
      <c r="D46" s="40"/>
      <c r="F46" s="5" t="s">
        <v>188</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207</v>
      </c>
      <c r="M46" s="41">
        <v>19200</v>
      </c>
      <c r="N46" s="29"/>
      <c r="O46" s="29"/>
      <c r="P46" s="29"/>
      <c r="Q46" s="29"/>
      <c r="R46" s="29"/>
      <c r="S46" s="29"/>
      <c r="T46" t="s">
        <v>208</v>
      </c>
    </row>
    <row r="47" spans="1:23" s="34" customFormat="1" x14ac:dyDescent="0.25">
      <c r="D47" s="40"/>
      <c r="F47" s="5" t="s">
        <v>188</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209</v>
      </c>
      <c r="M47" s="41">
        <v>38400</v>
      </c>
      <c r="N47" s="29"/>
      <c r="O47" s="29"/>
      <c r="P47" s="29"/>
      <c r="Q47" s="29"/>
      <c r="R47" s="29"/>
      <c r="S47" s="29"/>
      <c r="T47" t="s">
        <v>210</v>
      </c>
    </row>
    <row r="48" spans="1:23" s="34" customFormat="1" x14ac:dyDescent="0.25">
      <c r="D48" s="40"/>
      <c r="F48" s="5" t="s">
        <v>188</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211</v>
      </c>
      <c r="M48" s="41">
        <v>57600</v>
      </c>
      <c r="N48" s="29"/>
      <c r="O48" s="29"/>
      <c r="P48" s="29"/>
      <c r="Q48" s="29"/>
      <c r="R48" s="29"/>
      <c r="S48" s="29"/>
      <c r="T48" t="s">
        <v>212</v>
      </c>
    </row>
    <row r="49" spans="4:20" s="34" customFormat="1" x14ac:dyDescent="0.25">
      <c r="D49" s="40"/>
      <c r="F49" s="5" t="s">
        <v>188</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213</v>
      </c>
      <c r="M49" s="41">
        <v>115200</v>
      </c>
      <c r="N49" s="29"/>
      <c r="O49" s="29"/>
      <c r="P49" s="29"/>
      <c r="Q49" s="29"/>
      <c r="R49" s="29"/>
      <c r="S49" s="29"/>
      <c r="T49" t="s">
        <v>214</v>
      </c>
    </row>
    <row r="50" spans="4:20" s="34" customFormat="1" x14ac:dyDescent="0.25">
      <c r="D50" s="40"/>
      <c r="E50" t="s">
        <v>215</v>
      </c>
      <c r="F50" s="5" t="s">
        <v>188</v>
      </c>
      <c r="G50" s="3" t="s">
        <v>114</v>
      </c>
      <c r="H50" s="3" t="s">
        <v>47</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1" t="s">
        <v>216</v>
      </c>
      <c r="N50" s="29">
        <v>1</v>
      </c>
      <c r="O50" s="29">
        <v>0</v>
      </c>
      <c r="P50" s="29">
        <v>2</v>
      </c>
      <c r="Q50" s="29"/>
      <c r="R50" s="29"/>
      <c r="S50" s="29"/>
      <c r="T50" t="s">
        <v>217</v>
      </c>
    </row>
    <row r="51" spans="4:20" s="34" customFormat="1" x14ac:dyDescent="0.25">
      <c r="D51" s="40"/>
      <c r="F51" s="5" t="s">
        <v>188</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218</v>
      </c>
      <c r="M51" s="41" t="s">
        <v>219</v>
      </c>
      <c r="N51" s="29"/>
      <c r="O51" s="29"/>
      <c r="P51" s="29"/>
      <c r="Q51" s="29"/>
      <c r="R51" s="29"/>
      <c r="S51" s="29"/>
      <c r="T51" t="s">
        <v>220</v>
      </c>
    </row>
    <row r="52" spans="4:20" s="34" customFormat="1" x14ac:dyDescent="0.25">
      <c r="D52" s="40"/>
      <c r="F52" s="5" t="s">
        <v>188</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221</v>
      </c>
      <c r="M52" t="s">
        <v>222</v>
      </c>
      <c r="N52" s="29"/>
      <c r="O52" s="29"/>
      <c r="P52" s="29"/>
      <c r="Q52" s="29"/>
      <c r="R52" s="29"/>
      <c r="S52" s="29"/>
      <c r="T52" t="s">
        <v>223</v>
      </c>
    </row>
    <row r="53" spans="4:20" s="34" customFormat="1" x14ac:dyDescent="0.25">
      <c r="D53" s="40"/>
      <c r="F53" s="5" t="s">
        <v>188</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224</v>
      </c>
      <c r="M53" t="s">
        <v>225</v>
      </c>
      <c r="N53" s="29"/>
      <c r="O53" s="29"/>
      <c r="P53" s="29"/>
      <c r="Q53" s="29"/>
      <c r="R53" s="29"/>
      <c r="S53" s="29"/>
      <c r="T53" t="s">
        <v>226</v>
      </c>
    </row>
    <row r="54" spans="4:20" s="34" customFormat="1" x14ac:dyDescent="0.25">
      <c r="D54" s="40"/>
      <c r="E54" t="s">
        <v>227</v>
      </c>
      <c r="F54" s="5" t="s">
        <v>188</v>
      </c>
      <c r="G54" s="3" t="s">
        <v>114</v>
      </c>
      <c r="H54" s="3" t="s">
        <v>47</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228</v>
      </c>
      <c r="N54" s="29">
        <v>0</v>
      </c>
      <c r="O54" s="29">
        <v>0</v>
      </c>
      <c r="P54" s="29">
        <v>1</v>
      </c>
      <c r="Q54" s="29"/>
      <c r="R54" s="29"/>
      <c r="S54" s="29"/>
      <c r="T54" t="s">
        <v>229</v>
      </c>
    </row>
    <row r="55" spans="4:20" s="34" customFormat="1" x14ac:dyDescent="0.25">
      <c r="D55" s="40"/>
      <c r="F55" s="5" t="s">
        <v>188</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230</v>
      </c>
      <c r="M55" t="s">
        <v>231</v>
      </c>
      <c r="N55" s="29"/>
      <c r="O55" s="29"/>
      <c r="P55" s="29"/>
      <c r="Q55" s="29"/>
      <c r="R55" s="29"/>
      <c r="S55" s="29"/>
      <c r="T55" t="s">
        <v>231</v>
      </c>
    </row>
    <row r="56" spans="4:20" s="34" customFormat="1" x14ac:dyDescent="0.25">
      <c r="D56" s="40"/>
      <c r="F56" s="5" t="s">
        <v>188</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232</v>
      </c>
      <c r="M56" t="s">
        <v>233</v>
      </c>
      <c r="N56" s="29"/>
      <c r="O56" s="29"/>
      <c r="P56" s="29"/>
      <c r="Q56" s="29"/>
      <c r="R56" s="29"/>
      <c r="S56" s="29"/>
      <c r="T56" t="s">
        <v>233</v>
      </c>
    </row>
    <row r="57" spans="4:20" s="34" customFormat="1" x14ac:dyDescent="0.25">
      <c r="D57" s="40"/>
      <c r="E57" t="s">
        <v>234</v>
      </c>
      <c r="F57" s="5" t="s">
        <v>188</v>
      </c>
      <c r="G57" s="3" t="s">
        <v>48</v>
      </c>
      <c r="H57" s="3" t="s">
        <v>50</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235</v>
      </c>
      <c r="S57" s="29"/>
      <c r="T57"/>
    </row>
    <row r="58" spans="4:20" s="34" customFormat="1" x14ac:dyDescent="0.25">
      <c r="D58" s="40"/>
      <c r="E58" t="s">
        <v>236</v>
      </c>
      <c r="F58" s="5" t="s">
        <v>188</v>
      </c>
      <c r="G58" s="3" t="s">
        <v>48</v>
      </c>
      <c r="H58" s="3" t="s">
        <v>45</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237</v>
      </c>
      <c r="N58" s="29">
        <v>32</v>
      </c>
      <c r="O58" s="29">
        <v>32</v>
      </c>
      <c r="P58" s="29">
        <v>63</v>
      </c>
      <c r="Q58" s="29"/>
      <c r="R58" s="29" t="s">
        <v>235</v>
      </c>
      <c r="S58" s="29"/>
      <c r="T58" t="s">
        <v>238</v>
      </c>
    </row>
    <row r="59" spans="4:20" s="34" customFormat="1" x14ac:dyDescent="0.25">
      <c r="D59" s="40"/>
      <c r="E59" t="s">
        <v>239</v>
      </c>
      <c r="F59" s="3" t="s">
        <v>188</v>
      </c>
      <c r="G59" s="3" t="s">
        <v>48</v>
      </c>
      <c r="H59" s="3" t="s">
        <v>50</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240</v>
      </c>
      <c r="N59" s="29"/>
      <c r="O59" s="29">
        <v>0</v>
      </c>
      <c r="P59" s="29">
        <v>1</v>
      </c>
      <c r="Q59" s="29"/>
      <c r="R59" s="29"/>
      <c r="S59" s="29"/>
      <c r="T59" t="s">
        <v>241</v>
      </c>
    </row>
    <row r="60" spans="4:20" s="34" customFormat="1" x14ac:dyDescent="0.25">
      <c r="D60" s="40"/>
      <c r="E60" t="s">
        <v>242</v>
      </c>
      <c r="F60" s="3" t="s">
        <v>188</v>
      </c>
      <c r="G60" s="3" t="s">
        <v>48</v>
      </c>
      <c r="H60" s="3" t="s">
        <v>47</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196</v>
      </c>
      <c r="N60" s="29">
        <v>10</v>
      </c>
      <c r="O60" s="29">
        <v>0</v>
      </c>
      <c r="P60" s="29">
        <v>7200</v>
      </c>
      <c r="Q60" s="3" t="s">
        <v>124</v>
      </c>
      <c r="R60" s="29"/>
      <c r="S60" s="29"/>
      <c r="T60" t="s">
        <v>243</v>
      </c>
    </row>
    <row r="61" spans="4:20" s="34" customFormat="1" x14ac:dyDescent="0.25">
      <c r="D61" s="40"/>
      <c r="F61" s="29"/>
      <c r="K61" s="10"/>
      <c r="N61" s="29"/>
      <c r="O61" s="29"/>
      <c r="P61" s="29"/>
      <c r="Q61" s="29"/>
      <c r="R61" s="29"/>
    </row>
    <row r="63" spans="4:20" s="34" customFormat="1" x14ac:dyDescent="0.25">
      <c r="D63" s="40"/>
      <c r="F63" s="29"/>
      <c r="G63" s="29"/>
      <c r="H63" s="29"/>
      <c r="I63" s="29"/>
      <c r="J63" s="29"/>
      <c r="K63" s="10"/>
      <c r="L63" s="29"/>
      <c r="N63" s="29"/>
      <c r="O63" s="29"/>
      <c r="P63" s="29"/>
      <c r="Q63" s="29"/>
      <c r="R63" s="29"/>
      <c r="S63" s="29"/>
      <c r="T63"/>
    </row>
    <row r="64" spans="4:20" s="34" customFormat="1" x14ac:dyDescent="0.25">
      <c r="D64" s="40"/>
      <c r="E64" s="2" t="s">
        <v>249</v>
      </c>
      <c r="F64" s="3" t="s">
        <v>186</v>
      </c>
      <c r="G64" s="5" t="s">
        <v>48</v>
      </c>
      <c r="H64" s="18" t="s">
        <v>50</v>
      </c>
      <c r="I64" s="33">
        <v>0</v>
      </c>
      <c r="J64" s="29">
        <v>2</v>
      </c>
      <c r="K64" s="10" t="str">
        <f xml:space="preserve"> IFERROR("0x" &amp; DEC2HEX(VLOOKUP(F64,Common!$C$10:$D$34,2,FALSE),2) &amp; DEC2HEX(I64,3) &amp; DEC2HEX(VLOOKUP(G64,Common!$C$51:$D$55,2,FALSE),1) &amp; DEC2HEX(1+2*VLOOKUP(H64,Common!$C$69:$D$72,2,FALSE),1) &amp; DEC2HEX(IFERROR(LOG(J64,2),0),1),0)</f>
        <v>0x04000151</v>
      </c>
      <c r="L64" s="29" t="str">
        <f>IF(AND(LEN(E64)&lt;&gt;0,S64=""),F64&amp;"_"&amp;UPPER(E64),"")</f>
        <v>CALIB_MODE</v>
      </c>
      <c r="M64" t="s">
        <v>250</v>
      </c>
      <c r="N64" s="29">
        <v>0</v>
      </c>
      <c r="O64" s="29">
        <v>0</v>
      </c>
      <c r="P64" s="29">
        <v>24</v>
      </c>
      <c r="Q64" s="29"/>
      <c r="R64" s="29"/>
      <c r="S64" s="3"/>
      <c r="T64" t="s">
        <v>251</v>
      </c>
    </row>
    <row r="65" spans="1:35" s="34" customFormat="1" x14ac:dyDescent="0.25">
      <c r="D65" s="40"/>
      <c r="E65" s="2" t="s">
        <v>234</v>
      </c>
      <c r="F65" s="3" t="s">
        <v>186</v>
      </c>
      <c r="G65" s="5" t="s">
        <v>48</v>
      </c>
      <c r="H65" s="18" t="s">
        <v>50</v>
      </c>
      <c r="I65" s="33">
        <f xml:space="preserve"> I64+J64</f>
        <v>2</v>
      </c>
      <c r="J65" s="29">
        <v>2</v>
      </c>
      <c r="K65" s="10" t="str">
        <f xml:space="preserve"> IFERROR("0x" &amp; DEC2HEX(VLOOKUP(F65,Common!$C$10:$D$34,2,FALSE),2) &amp; DEC2HEX(I65,3) &amp; DEC2HEX(VLOOKUP(G65,Common!$C$51:$D$55,2,FALSE),1) &amp; DEC2HEX(1+2*VLOOKUP(H65,Common!$C$69:$D$72,2,FALSE),1) &amp; DEC2HEX(IFERROR(LOG(J65,2),0),1),0)</f>
        <v>0x04002151</v>
      </c>
      <c r="L65" s="29" t="str">
        <f t="shared" ref="L65:L67" si="7">IF(AND(LEN(E65)&lt;&gt;0,S65=""),F65&amp;"_"&amp;UPPER(E65),"")</f>
        <v>CALIB_RESERVED</v>
      </c>
      <c r="M65" t="s">
        <v>89</v>
      </c>
      <c r="N65" s="29"/>
      <c r="O65" s="29"/>
      <c r="P65" s="29"/>
      <c r="Q65" s="29"/>
      <c r="R65" s="29"/>
      <c r="S65" s="3"/>
      <c r="T65" t="s">
        <v>52</v>
      </c>
    </row>
    <row r="66" spans="1:35" s="34" customFormat="1" x14ac:dyDescent="0.25">
      <c r="D66" s="40"/>
      <c r="E66" t="s">
        <v>252</v>
      </c>
      <c r="F66" s="3" t="s">
        <v>186</v>
      </c>
      <c r="G66" s="3" t="s">
        <v>49</v>
      </c>
      <c r="H66" s="3" t="s">
        <v>47</v>
      </c>
      <c r="I66" s="33">
        <f xml:space="preserve"> I65+J65</f>
        <v>4</v>
      </c>
      <c r="J66" s="3">
        <v>4</v>
      </c>
      <c r="K66" s="10" t="str">
        <f xml:space="preserve"> IFERROR("0x" &amp; DEC2HEX(VLOOKUP(F66,Common!$C$10:$D$34,2,FALSE),2) &amp; DEC2HEX(I66,3) &amp; DEC2HEX(VLOOKUP(G66,Common!$C$51:$D$55,2,FALSE),1) &amp; DEC2HEX(1+2*VLOOKUP(H66,Common!$C$69:$D$72,2,FALSE),1) &amp; DEC2HEX(IFERROR(LOG(J66,2),0),1),0)</f>
        <v>0x04004272</v>
      </c>
      <c r="L66" s="29" t="str">
        <f t="shared" si="7"/>
        <v>CALIB_PT_TEMPER_CORR</v>
      </c>
      <c r="M66" t="s">
        <v>253</v>
      </c>
      <c r="N66" s="29">
        <v>-10</v>
      </c>
      <c r="O66" s="29">
        <v>-50</v>
      </c>
      <c r="P66" s="29">
        <v>50</v>
      </c>
      <c r="Q66" s="3" t="s">
        <v>254</v>
      </c>
      <c r="R66" s="3" t="s">
        <v>255</v>
      </c>
      <c r="T66" t="s">
        <v>256</v>
      </c>
    </row>
    <row r="67" spans="1:35" s="34" customFormat="1" x14ac:dyDescent="0.25">
      <c r="D67" s="40"/>
      <c r="E67" t="s">
        <v>257</v>
      </c>
      <c r="F67" s="3" t="s">
        <v>186</v>
      </c>
      <c r="G67" s="3" t="s">
        <v>49</v>
      </c>
      <c r="H67" s="3" t="s">
        <v>47</v>
      </c>
      <c r="I67" s="33">
        <f xml:space="preserve"> I66+J66</f>
        <v>8</v>
      </c>
      <c r="J67" s="3">
        <v>4</v>
      </c>
      <c r="K67" s="10" t="str">
        <f xml:space="preserve"> IFERROR("0x" &amp; DEC2HEX(VLOOKUP(F67,Common!$C$10:$D$34,2,FALSE),2) &amp; DEC2HEX(I67,3) &amp; DEC2HEX(VLOOKUP(G67,Common!$C$51:$D$55,2,FALSE),1) &amp; DEC2HEX(1+2*VLOOKUP(H67,Common!$C$69:$D$72,2,FALSE),1) &amp; DEC2HEX(IFERROR(LOG(J67,2),0),1),0)</f>
        <v>0x04008272</v>
      </c>
      <c r="L67" s="29" t="str">
        <f t="shared" si="7"/>
        <v>CALIB_RESIST_CORR</v>
      </c>
      <c r="M67" t="s">
        <v>258</v>
      </c>
      <c r="N67" s="29">
        <v>0</v>
      </c>
      <c r="O67" s="29">
        <v>-500</v>
      </c>
      <c r="P67" s="29">
        <v>500</v>
      </c>
      <c r="Q67" s="3" t="s">
        <v>259</v>
      </c>
      <c r="R67" s="3" t="s">
        <v>255</v>
      </c>
      <c r="T67" t="s">
        <v>260</v>
      </c>
    </row>
    <row r="68" spans="1:35" s="10" customFormat="1" x14ac:dyDescent="0.25">
      <c r="A68" s="12"/>
      <c r="B68" s="12"/>
      <c r="C68" s="12"/>
      <c r="D68"/>
      <c r="E68" s="24"/>
      <c r="F68" s="23"/>
      <c r="G68" s="23"/>
      <c r="H68" s="26"/>
      <c r="I68" s="22"/>
      <c r="J68" s="22"/>
      <c r="K68" s="10">
        <f xml:space="preserve"> IFERROR("0x" &amp; DEC2HEX(VLOOKUP(F68,Common!$C$10:$D$34,2,FALSE),2) &amp; DEC2HEX(I68,3) &amp; DEC2HEX(VLOOKUP(G68,Common!$C$51:$D$55,2,FALSE),1) &amp; DEC2HEX(1+2*VLOOKUP(H68,Common!$C$69:$D$72,2,FALSE),1) &amp; DEC2HEX(IFERROR(LOG(J68,2),0),1),0)</f>
        <v>0</v>
      </c>
      <c r="L68" s="22"/>
      <c r="M68" s="21"/>
      <c r="N68" s="22"/>
      <c r="O68" s="22"/>
      <c r="P68" s="22"/>
      <c r="Q68" s="22"/>
      <c r="R68" s="28"/>
      <c r="S68" s="22"/>
      <c r="T68" s="21"/>
      <c r="U68"/>
      <c r="V68"/>
      <c r="W68"/>
      <c r="X68"/>
      <c r="Y68"/>
      <c r="Z68" s="12"/>
      <c r="AA68" s="12"/>
      <c r="AB68" s="12"/>
      <c r="AC68" s="12"/>
      <c r="AD68" s="12"/>
      <c r="AE68" s="12"/>
      <c r="AF68" s="12"/>
      <c r="AG68" s="12"/>
      <c r="AH68" s="12"/>
      <c r="AI68" s="12"/>
    </row>
    <row r="69" spans="1:35" s="34" customFormat="1" x14ac:dyDescent="0.25">
      <c r="D69" s="40"/>
      <c r="E69" t="s">
        <v>249</v>
      </c>
      <c r="F69" s="3" t="s">
        <v>192</v>
      </c>
      <c r="G69" s="3" t="s">
        <v>114</v>
      </c>
      <c r="H69" s="3" t="s">
        <v>50</v>
      </c>
      <c r="I69" s="33">
        <f xml:space="preserve"> I68+J68</f>
        <v>0</v>
      </c>
      <c r="J69" s="29">
        <v>1</v>
      </c>
      <c r="K69" s="10" t="str">
        <f xml:space="preserve"> IFERROR("0x" &amp; DEC2HEX(VLOOKUP(F69,Common!$C$10:$D$34,2,FALSE),2) &amp; DEC2HEX(I69,3) &amp; DEC2HEX(VLOOKUP(G69,Common!$C$51:$D$55,2,FALSE),1) &amp; DEC2HEX(1+2*VLOOKUP(H69,Common!$C$69:$D$72,2,FALSE),1) &amp; DEC2HEX(IFERROR(LOG(J69,2),0),1),0)</f>
        <v>0x05000550</v>
      </c>
      <c r="L69" s="29" t="str">
        <f t="shared" ref="L69" si="8">IF(AND(LEN(E69)&lt;&gt;0,S69=""),F69&amp;"_"&amp;UPPER(E69),"")</f>
        <v>RTD_MODE</v>
      </c>
      <c r="M69" t="s">
        <v>276</v>
      </c>
      <c r="N69" s="29"/>
      <c r="O69" s="29">
        <v>0</v>
      </c>
      <c r="P69" s="29">
        <v>2</v>
      </c>
      <c r="Q69" s="29"/>
      <c r="R69" s="3" t="s">
        <v>277</v>
      </c>
      <c r="T69" t="s">
        <v>278</v>
      </c>
    </row>
    <row r="70" spans="1:35" s="34" customFormat="1" x14ac:dyDescent="0.25">
      <c r="D70" s="40"/>
      <c r="E70"/>
      <c r="F70" s="3"/>
      <c r="G70" s="3"/>
      <c r="H70" s="3"/>
      <c r="I70" s="33">
        <f t="shared" ref="I70:I79" si="9" xml:space="preserve"> I69+J69</f>
        <v>1</v>
      </c>
      <c r="J70" s="29"/>
      <c r="K70" s="10">
        <f xml:space="preserve"> IFERROR("0x" &amp; DEC2HEX(VLOOKUP(F70,Common!$C$10:$D$34,2,FALSE),2) &amp; DEC2HEX(I70,3) &amp; DEC2HEX(VLOOKUP(G70,Common!$C$51:$D$55,2,FALSE),1) &amp; DEC2HEX(1+2*VLOOKUP(H70,Common!$C$69:$D$72,2,FALSE),1) &amp; DEC2HEX(IFERROR(LOG(J70,2),0),1),0)</f>
        <v>0</v>
      </c>
      <c r="L70" s="3" t="s">
        <v>289</v>
      </c>
      <c r="M70" t="s">
        <v>279</v>
      </c>
      <c r="N70" s="29"/>
      <c r="O70" s="29"/>
      <c r="P70" s="29"/>
      <c r="Q70" s="29"/>
      <c r="R70" s="29"/>
      <c r="T70" t="s">
        <v>280</v>
      </c>
    </row>
    <row r="71" spans="1:35" s="34" customFormat="1" x14ac:dyDescent="0.25">
      <c r="D71" s="40"/>
      <c r="E71"/>
      <c r="F71" s="3"/>
      <c r="G71" s="3"/>
      <c r="H71" s="3"/>
      <c r="I71" s="33">
        <f t="shared" si="9"/>
        <v>1</v>
      </c>
      <c r="J71" s="29"/>
      <c r="K71" s="10">
        <f xml:space="preserve"> IFERROR("0x" &amp; DEC2HEX(VLOOKUP(F71,Common!$C$10:$D$34,2,FALSE),2) &amp; DEC2HEX(I71,3) &amp; DEC2HEX(VLOOKUP(G71,Common!$C$51:$D$55,2,FALSE),1) &amp; DEC2HEX(1+2*VLOOKUP(H71,Common!$C$69:$D$72,2,FALSE),1) &amp; DEC2HEX(IFERROR(LOG(J71,2),0),1),0)</f>
        <v>0</v>
      </c>
      <c r="L71" s="3" t="s">
        <v>290</v>
      </c>
      <c r="M71" t="s">
        <v>281</v>
      </c>
      <c r="N71" s="29"/>
      <c r="O71" s="29"/>
      <c r="P71" s="29"/>
      <c r="Q71" s="29"/>
      <c r="R71" s="29"/>
      <c r="T71" t="s">
        <v>282</v>
      </c>
    </row>
    <row r="72" spans="1:35" s="34" customFormat="1" x14ac:dyDescent="0.25">
      <c r="D72" s="40"/>
      <c r="E72"/>
      <c r="F72" s="3"/>
      <c r="G72" s="3"/>
      <c r="H72" s="3"/>
      <c r="I72" s="33">
        <f t="shared" si="9"/>
        <v>1</v>
      </c>
      <c r="J72" s="29"/>
      <c r="K72" s="10">
        <f xml:space="preserve"> IFERROR("0x" &amp; DEC2HEX(VLOOKUP(F72,Common!$C$10:$D$34,2,FALSE),2) &amp; DEC2HEX(I72,3) &amp; DEC2HEX(VLOOKUP(G72,Common!$C$51:$D$55,2,FALSE),1) &amp; DEC2HEX(1+2*VLOOKUP(H72,Common!$C$69:$D$72,2,FALSE),1) &amp; DEC2HEX(IFERROR(LOG(J72,2),0),1),0)</f>
        <v>0</v>
      </c>
      <c r="L72" s="3" t="s">
        <v>291</v>
      </c>
      <c r="M72" t="s">
        <v>283</v>
      </c>
      <c r="N72" s="29"/>
      <c r="O72" s="29"/>
      <c r="P72" s="29"/>
      <c r="Q72" s="29"/>
      <c r="R72" s="29"/>
      <c r="T72" t="s">
        <v>284</v>
      </c>
    </row>
    <row r="73" spans="1:35" s="34" customFormat="1" x14ac:dyDescent="0.25">
      <c r="D73" s="40"/>
      <c r="E73" t="s">
        <v>234</v>
      </c>
      <c r="F73" s="3" t="s">
        <v>192</v>
      </c>
      <c r="G73" s="3" t="s">
        <v>48</v>
      </c>
      <c r="H73" s="3" t="s">
        <v>50</v>
      </c>
      <c r="I73" s="33">
        <f t="shared" si="9"/>
        <v>1</v>
      </c>
      <c r="J73" s="29">
        <v>1</v>
      </c>
      <c r="K73" s="10" t="str">
        <f xml:space="preserve"> IFERROR("0x" &amp; DEC2HEX(VLOOKUP(F73,Common!$C$10:$D$34,2,FALSE),2) &amp; DEC2HEX(I73,3) &amp; DEC2HEX(VLOOKUP(G73,Common!$C$51:$D$55,2,FALSE),1) &amp; DEC2HEX(1+2*VLOOKUP(H73,Common!$C$69:$D$72,2,FALSE),1) &amp; DEC2HEX(IFERROR(LOG(J73,2),0),1),0)</f>
        <v>0x05001150</v>
      </c>
      <c r="L73" s="29" t="str">
        <f t="shared" ref="L73:L79" si="10">IF(AND(LEN(E73)&lt;&gt;0,S73=""),F73&amp;"_"&amp;UPPER(E73),"")</f>
        <v>RTD_RESERVED</v>
      </c>
      <c r="M73" t="s">
        <v>89</v>
      </c>
      <c r="N73" s="29"/>
      <c r="O73" s="29"/>
      <c r="P73" s="29"/>
      <c r="Q73" s="29"/>
      <c r="R73" s="3"/>
      <c r="T73" t="s">
        <v>52</v>
      </c>
    </row>
    <row r="74" spans="1:35" s="34" customFormat="1" x14ac:dyDescent="0.25">
      <c r="D74" s="40"/>
      <c r="E74" t="s">
        <v>261</v>
      </c>
      <c r="F74" s="3" t="s">
        <v>192</v>
      </c>
      <c r="G74" s="3" t="s">
        <v>48</v>
      </c>
      <c r="H74" s="3" t="s">
        <v>50</v>
      </c>
      <c r="I74" s="33">
        <f t="shared" si="9"/>
        <v>2</v>
      </c>
      <c r="J74" s="29">
        <v>2</v>
      </c>
      <c r="K74" s="10" t="str">
        <f xml:space="preserve"> IFERROR("0x" &amp; DEC2HEX(VLOOKUP(F74,Common!$C$10:$D$34,2,FALSE),2) &amp; DEC2HEX(I74,3) &amp; DEC2HEX(VLOOKUP(G74,Common!$C$51:$D$55,2,FALSE),1) &amp; DEC2HEX(1+2*VLOOKUP(H74,Common!$C$69:$D$72,2,FALSE),1) &amp; DEC2HEX(IFERROR(LOG(J74,2),0),1),0)</f>
        <v>0x05002151</v>
      </c>
      <c r="L74" s="29" t="str">
        <f t="shared" si="10"/>
        <v>RTD_NTC_BETA</v>
      </c>
      <c r="M74" t="s">
        <v>262</v>
      </c>
      <c r="N74" s="29">
        <v>3977</v>
      </c>
      <c r="O74" s="29">
        <v>3000</v>
      </c>
      <c r="P74" s="29">
        <v>5500</v>
      </c>
      <c r="Q74" s="29"/>
      <c r="R74" s="29"/>
      <c r="S74" s="29"/>
      <c r="T74" t="s">
        <v>263</v>
      </c>
    </row>
    <row r="75" spans="1:35" s="34" customFormat="1" x14ac:dyDescent="0.25">
      <c r="D75" s="40"/>
      <c r="E75" t="s">
        <v>264</v>
      </c>
      <c r="F75" s="3" t="s">
        <v>192</v>
      </c>
      <c r="G75" s="3" t="s">
        <v>48</v>
      </c>
      <c r="H75" s="3" t="s">
        <v>50</v>
      </c>
      <c r="I75" s="33">
        <f t="shared" si="9"/>
        <v>4</v>
      </c>
      <c r="J75" s="29">
        <v>2</v>
      </c>
      <c r="K75" s="10" t="str">
        <f xml:space="preserve"> IFERROR("0x" &amp; DEC2HEX(VLOOKUP(F75,Common!$C$10:$D$34,2,FALSE),2) &amp; DEC2HEX(I75,3) &amp; DEC2HEX(VLOOKUP(G75,Common!$C$51:$D$55,2,FALSE),1) &amp; DEC2HEX(1+2*VLOOKUP(H75,Common!$C$69:$D$72,2,FALSE),1) &amp; DEC2HEX(IFERROR(LOG(J75,2),0),1),0)</f>
        <v>0x05004151</v>
      </c>
      <c r="L75" s="29" t="str">
        <f t="shared" si="10"/>
        <v>RTD_NTC_STOCK_RES</v>
      </c>
      <c r="M75" t="s">
        <v>265</v>
      </c>
      <c r="N75" s="29">
        <v>10000</v>
      </c>
      <c r="O75" s="29">
        <v>1000</v>
      </c>
      <c r="P75" s="29">
        <v>10000</v>
      </c>
      <c r="Q75" s="3" t="s">
        <v>259</v>
      </c>
      <c r="R75" s="29"/>
      <c r="S75" s="29"/>
      <c r="T75" t="s">
        <v>266</v>
      </c>
    </row>
    <row r="76" spans="1:35" s="34" customFormat="1" x14ac:dyDescent="0.25">
      <c r="D76" s="40"/>
      <c r="E76" t="s">
        <v>267</v>
      </c>
      <c r="F76" s="3" t="s">
        <v>192</v>
      </c>
      <c r="G76" s="3" t="s">
        <v>48</v>
      </c>
      <c r="H76" s="3" t="s">
        <v>50</v>
      </c>
      <c r="I76" s="33">
        <f t="shared" si="9"/>
        <v>6</v>
      </c>
      <c r="J76" s="29">
        <v>2</v>
      </c>
      <c r="K76" s="10" t="str">
        <f xml:space="preserve"> IFERROR("0x" &amp; DEC2HEX(VLOOKUP(F76,Common!$C$10:$D$34,2,FALSE),2) &amp; DEC2HEX(I76,3) &amp; DEC2HEX(VLOOKUP(G76,Common!$C$51:$D$55,2,FALSE),1) &amp; DEC2HEX(1+2*VLOOKUP(H76,Common!$C$69:$D$72,2,FALSE),1) &amp; DEC2HEX(IFERROR(LOG(J76,2),0),1),0)</f>
        <v>0x05006151</v>
      </c>
      <c r="L76" s="29" t="str">
        <f t="shared" si="10"/>
        <v>RTD_PT_STOCK_RES</v>
      </c>
      <c r="M76" t="s">
        <v>268</v>
      </c>
      <c r="N76" s="29">
        <v>1000</v>
      </c>
      <c r="O76" s="29">
        <v>100</v>
      </c>
      <c r="P76" s="29">
        <v>1000</v>
      </c>
      <c r="Q76" s="3" t="s">
        <v>259</v>
      </c>
      <c r="R76" s="29"/>
      <c r="T76" t="s">
        <v>269</v>
      </c>
    </row>
    <row r="77" spans="1:35" s="34" customFormat="1" x14ac:dyDescent="0.25">
      <c r="D77" s="40"/>
      <c r="E77" t="s">
        <v>285</v>
      </c>
      <c r="F77" s="3" t="s">
        <v>192</v>
      </c>
      <c r="G77" s="3" t="s">
        <v>49</v>
      </c>
      <c r="H77" s="3" t="s">
        <v>50</v>
      </c>
      <c r="I77" s="33">
        <f t="shared" si="9"/>
        <v>8</v>
      </c>
      <c r="J77" s="29">
        <v>4</v>
      </c>
      <c r="K77" s="10" t="str">
        <f xml:space="preserve"> IFERROR("0x" &amp; DEC2HEX(VLOOKUP(F77,Common!$C$10:$D$34,2,FALSE),2) &amp; DEC2HEX(I77,3) &amp; DEC2HEX(VLOOKUP(G77,Common!$C$51:$D$55,2,FALSE),1) &amp; DEC2HEX(1+2*VLOOKUP(H77,Common!$C$69:$D$72,2,FALSE),1) &amp; DEC2HEX(IFERROR(LOG(J77,2),0),1),0)</f>
        <v>0x05008252</v>
      </c>
      <c r="L77" s="29" t="str">
        <f t="shared" si="10"/>
        <v>RTD_RESISTANCE</v>
      </c>
      <c r="M77" t="s">
        <v>287</v>
      </c>
      <c r="N77" s="29">
        <v>10000</v>
      </c>
      <c r="O77" s="3">
        <v>120</v>
      </c>
      <c r="P77" s="29">
        <v>100225</v>
      </c>
      <c r="Q77" s="3" t="s">
        <v>259</v>
      </c>
      <c r="R77" s="3" t="s">
        <v>255</v>
      </c>
      <c r="T77" t="s">
        <v>270</v>
      </c>
    </row>
    <row r="78" spans="1:35" s="34" customFormat="1" x14ac:dyDescent="0.25">
      <c r="D78" s="40"/>
      <c r="E78" t="s">
        <v>286</v>
      </c>
      <c r="F78" s="3" t="s">
        <v>192</v>
      </c>
      <c r="G78" s="3" t="s">
        <v>49</v>
      </c>
      <c r="H78" s="3" t="s">
        <v>50</v>
      </c>
      <c r="I78" s="33">
        <f t="shared" si="9"/>
        <v>12</v>
      </c>
      <c r="J78" s="29">
        <v>4</v>
      </c>
      <c r="K78" s="10" t="str">
        <f xml:space="preserve"> IFERROR("0x" &amp; DEC2HEX(VLOOKUP(F78,Common!$C$10:$D$34,2,FALSE),2) &amp; DEC2HEX(I78,3) &amp; DEC2HEX(VLOOKUP(G78,Common!$C$51:$D$55,2,FALSE),1) &amp; DEC2HEX(1+2*VLOOKUP(H78,Common!$C$69:$D$72,2,FALSE),1) &amp; DEC2HEX(IFERROR(LOG(J78,2),0),1),0)</f>
        <v>0x0500C252</v>
      </c>
      <c r="L78" s="29" t="str">
        <f t="shared" si="10"/>
        <v>RTD_TEMPERATURE</v>
      </c>
      <c r="M78" t="s">
        <v>288</v>
      </c>
      <c r="N78" s="29">
        <v>25</v>
      </c>
      <c r="O78" s="3">
        <v>-200</v>
      </c>
      <c r="P78" s="29">
        <v>600</v>
      </c>
      <c r="Q78" s="3" t="s">
        <v>254</v>
      </c>
      <c r="R78" s="3" t="s">
        <v>255</v>
      </c>
      <c r="T78" t="s">
        <v>271</v>
      </c>
    </row>
    <row r="79" spans="1:35" s="34" customFormat="1" x14ac:dyDescent="0.25">
      <c r="D79" s="40"/>
      <c r="E79" t="s">
        <v>272</v>
      </c>
      <c r="F79" s="3" t="s">
        <v>192</v>
      </c>
      <c r="G79" s="3" t="s">
        <v>49</v>
      </c>
      <c r="H79" s="3" t="s">
        <v>50</v>
      </c>
      <c r="I79" s="33">
        <f t="shared" si="9"/>
        <v>16</v>
      </c>
      <c r="J79" s="29">
        <v>4</v>
      </c>
      <c r="K79" s="10" t="str">
        <f xml:space="preserve"> IFERROR("0x" &amp; DEC2HEX(VLOOKUP(F79,Common!$C$10:$D$34,2,FALSE),2) &amp; DEC2HEX(I79,3) &amp; DEC2HEX(VLOOKUP(G79,Common!$C$51:$D$55,2,FALSE),1) &amp; DEC2HEX(1+2*VLOOKUP(H79,Common!$C$69:$D$72,2,FALSE),1) &amp; DEC2HEX(IFERROR(LOG(J79,2),0),1),0)</f>
        <v>0x05010252</v>
      </c>
      <c r="L79" s="29" t="str">
        <f t="shared" si="10"/>
        <v>RTD_SLEW_RATE</v>
      </c>
      <c r="M79" t="s">
        <v>273</v>
      </c>
      <c r="N79" s="29">
        <v>0</v>
      </c>
      <c r="O79" s="3">
        <v>0</v>
      </c>
      <c r="P79" s="3">
        <v>100</v>
      </c>
      <c r="Q79" s="3" t="s">
        <v>274</v>
      </c>
      <c r="R79" s="3" t="s">
        <v>255</v>
      </c>
      <c r="T79" t="s">
        <v>275</v>
      </c>
    </row>
    <row r="80" spans="1:35" s="10" customFormat="1" x14ac:dyDescent="0.25">
      <c r="A80" s="12"/>
      <c r="B80" s="12"/>
      <c r="C80" s="12"/>
      <c r="D80"/>
      <c r="E80" s="24"/>
      <c r="F80" s="23"/>
      <c r="G80" s="23"/>
      <c r="H80" s="26"/>
      <c r="I80" s="22"/>
      <c r="J80" s="22"/>
      <c r="K80" s="22"/>
      <c r="L80" s="22"/>
      <c r="M80" s="21"/>
      <c r="N80" s="22"/>
      <c r="O80" s="22"/>
      <c r="P80" s="22"/>
      <c r="Q80" s="23"/>
      <c r="R80" s="23"/>
      <c r="S80" s="22"/>
      <c r="T80" s="21"/>
      <c r="U80"/>
      <c r="V80"/>
      <c r="W80"/>
      <c r="X80"/>
      <c r="Y80"/>
      <c r="Z80" s="12"/>
      <c r="AA80" s="12"/>
      <c r="AB80" s="12"/>
      <c r="AC80" s="12"/>
      <c r="AD80" s="12"/>
      <c r="AE80" s="12"/>
      <c r="AF80" s="12"/>
      <c r="AG80" s="12"/>
      <c r="AH80" s="12"/>
      <c r="AI80" s="12"/>
    </row>
    <row r="81" spans="1:35" s="10" customFormat="1" x14ac:dyDescent="0.25">
      <c r="A81" s="12"/>
      <c r="B81" s="12"/>
      <c r="C81" s="12"/>
      <c r="D81"/>
      <c r="E81" s="24"/>
      <c r="F81" s="23"/>
      <c r="G81" s="23"/>
      <c r="H81" s="26"/>
      <c r="I81" s="22"/>
      <c r="J81" s="22"/>
      <c r="K81" s="22"/>
      <c r="L81" s="22"/>
      <c r="M81" s="21"/>
      <c r="N81" s="22"/>
      <c r="O81" s="22"/>
      <c r="P81" s="22"/>
      <c r="Q81" s="23"/>
      <c r="R81" s="23"/>
      <c r="S81" s="22"/>
      <c r="T81" s="21"/>
      <c r="U81"/>
      <c r="V81"/>
      <c r="W81"/>
      <c r="X81"/>
      <c r="Y81"/>
      <c r="Z81" s="12"/>
      <c r="AA81" s="12"/>
      <c r="AB81" s="12"/>
      <c r="AC81" s="12"/>
      <c r="AD81" s="12"/>
      <c r="AE81" s="12"/>
      <c r="AF81" s="12"/>
      <c r="AG81" s="12"/>
      <c r="AH81" s="12"/>
      <c r="AI81" s="12"/>
    </row>
    <row r="82" spans="1:35" s="34" customFormat="1" x14ac:dyDescent="0.25">
      <c r="D82" s="40"/>
      <c r="E82" s="2" t="s">
        <v>244</v>
      </c>
      <c r="F82" s="3" t="s">
        <v>245</v>
      </c>
      <c r="G82" s="3" t="s">
        <v>48</v>
      </c>
      <c r="H82" s="3" t="s">
        <v>45</v>
      </c>
      <c r="I82" s="29">
        <v>0</v>
      </c>
      <c r="J82" s="29">
        <v>4</v>
      </c>
      <c r="K82" s="10" t="str">
        <f xml:space="preserve"> IFERROR("0x" &amp; DEC2HEX(VLOOKUP(F82,Common!$C$10:$D$34,2,FALSE),2) &amp; DEC2HEX(I82,3) &amp; DEC2HEX(VLOOKUP(G82,Common!$C$51:$D$55,2,FALSE),1) &amp; DEC2HEX(1+2*VLOOKUP(H82,Common!$C$69:$D$72,2,FALSE),1) &amp; DEC2HEX(IFERROR(LOG(J82,2),0),1),0)</f>
        <v>0x06000112</v>
      </c>
      <c r="L82" s="29" t="str">
        <f>IF(AND(LEN(E82)&lt;&gt;0,S82=""),F82&amp;"_"&amp;UPPER(E82),"")</f>
        <v>DBG_WRITES_CONF</v>
      </c>
      <c r="M82" t="s">
        <v>246</v>
      </c>
      <c r="N82" s="29"/>
      <c r="O82" s="29">
        <v>0</v>
      </c>
      <c r="P82" s="29">
        <v>1000000</v>
      </c>
      <c r="Q82" s="3" t="s">
        <v>247</v>
      </c>
      <c r="R82" s="29"/>
      <c r="S82" s="29"/>
      <c r="T82" t="s">
        <v>248</v>
      </c>
    </row>
    <row r="83" spans="1:35" s="10" customFormat="1" x14ac:dyDescent="0.25">
      <c r="A83" s="12"/>
      <c r="B83" s="12"/>
      <c r="C83" s="12"/>
      <c r="D83"/>
      <c r="E83" s="24"/>
      <c r="F83" s="23"/>
      <c r="G83" s="23"/>
      <c r="H83" s="26"/>
      <c r="I83" s="22"/>
      <c r="J83" s="22"/>
      <c r="K83" s="22"/>
      <c r="L83" s="22"/>
      <c r="M83" s="21"/>
      <c r="N83" s="22"/>
      <c r="O83" s="22"/>
      <c r="P83" s="22"/>
      <c r="Q83" s="23"/>
      <c r="R83" s="23"/>
      <c r="S83" s="22"/>
      <c r="T83" s="21"/>
      <c r="U83"/>
      <c r="V83"/>
      <c r="W83"/>
      <c r="X83"/>
      <c r="Y83"/>
      <c r="Z83" s="12"/>
      <c r="AA83" s="12"/>
      <c r="AB83" s="12"/>
      <c r="AC83" s="12"/>
      <c r="AD83" s="12"/>
      <c r="AE83" s="12"/>
      <c r="AF83" s="12"/>
      <c r="AG83" s="12"/>
      <c r="AH83" s="12"/>
      <c r="AI83" s="12"/>
    </row>
    <row r="84" spans="1:35" s="10" customFormat="1" x14ac:dyDescent="0.25">
      <c r="A84" s="12"/>
      <c r="B84" s="12"/>
      <c r="C84" s="12"/>
      <c r="D84"/>
      <c r="E84" s="24"/>
      <c r="F84" s="23"/>
      <c r="G84" s="23"/>
      <c r="H84" s="26"/>
      <c r="I84" s="22"/>
      <c r="J84" s="22"/>
      <c r="K84" s="22"/>
      <c r="L84" s="22"/>
      <c r="M84" s="21"/>
      <c r="N84" s="22"/>
      <c r="O84" s="22"/>
      <c r="P84" s="22"/>
      <c r="Q84" s="23"/>
      <c r="R84" s="23"/>
      <c r="S84" s="22"/>
      <c r="T84" s="21"/>
      <c r="U84"/>
      <c r="V84"/>
      <c r="W84"/>
      <c r="X84"/>
      <c r="Y84"/>
      <c r="Z84" s="12"/>
      <c r="AA84" s="12"/>
      <c r="AB84" s="12"/>
      <c r="AC84" s="12"/>
      <c r="AD84" s="12"/>
      <c r="AE84" s="12"/>
      <c r="AF84" s="12"/>
      <c r="AG84" s="12"/>
      <c r="AH84" s="12"/>
      <c r="AI84" s="12"/>
    </row>
    <row r="85" spans="1:35" s="10" customFormat="1" x14ac:dyDescent="0.25">
      <c r="A85" s="12"/>
      <c r="B85" s="12"/>
      <c r="C85" s="12"/>
      <c r="D85"/>
      <c r="E85" s="24"/>
      <c r="F85" s="23"/>
      <c r="G85" s="23"/>
      <c r="H85" s="26"/>
      <c r="I85" s="22"/>
      <c r="J85" s="22"/>
      <c r="K85" s="22"/>
      <c r="L85" s="22"/>
      <c r="M85" s="21"/>
      <c r="N85" s="22"/>
      <c r="O85" s="22"/>
      <c r="P85" s="22"/>
      <c r="Q85" s="23"/>
      <c r="R85" s="23"/>
      <c r="S85" s="22"/>
      <c r="T85" s="21"/>
      <c r="U85"/>
      <c r="V85"/>
      <c r="W85"/>
      <c r="X85"/>
      <c r="Y85"/>
      <c r="Z85" s="12"/>
      <c r="AA85" s="12"/>
      <c r="AB85" s="12"/>
      <c r="AC85" s="12"/>
      <c r="AD85" s="12"/>
      <c r="AE85" s="12"/>
      <c r="AF85" s="12"/>
      <c r="AG85" s="12"/>
      <c r="AH85" s="12"/>
      <c r="AI85" s="12"/>
    </row>
    <row r="86" spans="1:35" s="10" customFormat="1" x14ac:dyDescent="0.2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2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2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2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2"/>
      <c r="H106" s="25"/>
      <c r="I106" s="22"/>
      <c r="J106" s="22"/>
      <c r="K106" s="22"/>
      <c r="L106" s="22"/>
      <c r="M106" s="24"/>
      <c r="N106" s="22"/>
      <c r="O106" s="22"/>
      <c r="P106" s="22"/>
      <c r="Q106" s="22"/>
      <c r="R106" s="22"/>
      <c r="S106" s="22"/>
      <c r="T106" s="19"/>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2"/>
      <c r="H107" s="22"/>
      <c r="I107" s="22"/>
      <c r="J107" s="22"/>
      <c r="K107" s="22"/>
      <c r="L107" s="22"/>
      <c r="M107" s="21"/>
      <c r="N107" s="22"/>
      <c r="O107" s="22"/>
      <c r="P107" s="22"/>
      <c r="Q107" s="22"/>
      <c r="R107" s="22"/>
      <c r="S107" s="22"/>
      <c r="T107" s="19"/>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4"/>
      <c r="N108" s="22"/>
      <c r="O108" s="22"/>
      <c r="P108" s="22"/>
      <c r="Q108" s="22"/>
      <c r="R108" s="28"/>
      <c r="S108" s="22"/>
      <c r="T108" s="24"/>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19"/>
      <c r="F109" s="23"/>
      <c r="G109" s="22"/>
      <c r="H109" s="22"/>
      <c r="I109" s="22"/>
      <c r="J109" s="22"/>
      <c r="K109" s="22"/>
      <c r="L109" s="23"/>
      <c r="M109" s="24"/>
      <c r="N109" s="22"/>
      <c r="O109" s="22"/>
      <c r="P109" s="22"/>
      <c r="Q109" s="22"/>
      <c r="R109" s="28"/>
      <c r="S109" s="22"/>
      <c r="T109" s="24"/>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19"/>
      <c r="F110" s="23"/>
      <c r="G110" s="22"/>
      <c r="H110" s="25"/>
      <c r="I110" s="22"/>
      <c r="J110" s="22"/>
      <c r="K110" s="22"/>
      <c r="L110" s="23"/>
      <c r="M110" s="24"/>
      <c r="N110" s="22"/>
      <c r="O110" s="22"/>
      <c r="P110" s="22"/>
      <c r="Q110" s="22"/>
      <c r="R110" s="28"/>
      <c r="S110" s="22"/>
      <c r="T110" s="24"/>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19"/>
      <c r="F111" s="23"/>
      <c r="G111" s="22"/>
      <c r="H111" s="22"/>
      <c r="I111" s="22"/>
      <c r="J111" s="22"/>
      <c r="K111" s="22"/>
      <c r="L111" s="23"/>
      <c r="M111" s="24"/>
      <c r="N111" s="22"/>
      <c r="O111" s="22"/>
      <c r="P111" s="22"/>
      <c r="Q111" s="22"/>
      <c r="R111" s="28"/>
      <c r="S111" s="22"/>
      <c r="T111" s="24"/>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19"/>
      <c r="F112" s="23"/>
      <c r="G112" s="22"/>
      <c r="H112" s="22"/>
      <c r="I112" s="22"/>
      <c r="J112" s="22"/>
      <c r="K112" s="22"/>
      <c r="L112" s="23"/>
      <c r="M112" s="24"/>
      <c r="N112" s="22"/>
      <c r="O112" s="22"/>
      <c r="P112" s="22"/>
      <c r="Q112" s="22"/>
      <c r="R112" s="28"/>
      <c r="S112" s="22"/>
      <c r="T112" s="24"/>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3"/>
      <c r="I113" s="22"/>
      <c r="J113" s="22"/>
      <c r="K113" s="22"/>
      <c r="L113" s="22"/>
      <c r="M113" s="24"/>
      <c r="N113" s="22"/>
      <c r="O113" s="22"/>
      <c r="P113" s="22"/>
      <c r="Q113" s="22"/>
      <c r="R113" s="28"/>
      <c r="S113" s="22"/>
      <c r="T113" s="24"/>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19"/>
      <c r="F114" s="23"/>
      <c r="G114" s="22"/>
      <c r="H114" s="22"/>
      <c r="I114" s="22"/>
      <c r="J114" s="22"/>
      <c r="K114" s="22"/>
      <c r="L114" s="23"/>
      <c r="M114" s="24"/>
      <c r="N114" s="22"/>
      <c r="O114" s="22"/>
      <c r="P114" s="22"/>
      <c r="Q114" s="22"/>
      <c r="R114" s="28"/>
      <c r="S114" s="22"/>
      <c r="T114" s="24"/>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19"/>
      <c r="F115" s="23"/>
      <c r="G115" s="22"/>
      <c r="H115" s="22"/>
      <c r="I115" s="22"/>
      <c r="J115" s="22"/>
      <c r="K115" s="22"/>
      <c r="L115" s="23"/>
      <c r="M115" s="21"/>
      <c r="N115" s="22"/>
      <c r="O115" s="22"/>
      <c r="P115" s="22"/>
      <c r="Q115" s="22"/>
      <c r="R115" s="28"/>
      <c r="S115" s="22"/>
      <c r="T115" s="24"/>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1"/>
      <c r="F116" s="23"/>
      <c r="G116" s="23"/>
      <c r="H116" s="23"/>
      <c r="I116" s="22"/>
      <c r="J116" s="22"/>
      <c r="K116" s="22"/>
      <c r="L116" s="22"/>
      <c r="M116" s="21"/>
      <c r="N116" s="22"/>
      <c r="O116" s="22"/>
      <c r="P116" s="22"/>
      <c r="Q116" s="22"/>
      <c r="R116" s="22"/>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3"/>
      <c r="I117" s="22"/>
      <c r="J117" s="22"/>
      <c r="K117" s="22"/>
      <c r="L117" s="23"/>
      <c r="M117" s="21"/>
      <c r="N117" s="22"/>
      <c r="O117" s="22"/>
      <c r="P117" s="22"/>
      <c r="Q117" s="22"/>
      <c r="R117" s="28"/>
      <c r="S117" s="22"/>
      <c r="T117" s="24"/>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4"/>
      <c r="F118" s="23"/>
      <c r="G118" s="23"/>
      <c r="H118" s="23"/>
      <c r="I118" s="22"/>
      <c r="J118" s="22"/>
      <c r="K118" s="22"/>
      <c r="L118" s="23"/>
      <c r="M118" s="21"/>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3"/>
      <c r="I119" s="22"/>
      <c r="J119" s="22"/>
      <c r="K119" s="22"/>
      <c r="L119" s="22"/>
      <c r="M119" s="21"/>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6"/>
      <c r="I120" s="22"/>
      <c r="J120" s="22"/>
      <c r="K120" s="22"/>
      <c r="L120" s="22"/>
      <c r="M120" s="30"/>
      <c r="N120" s="22"/>
      <c r="O120" s="22"/>
      <c r="P120" s="22"/>
      <c r="Q120" s="23"/>
      <c r="R120" s="23"/>
      <c r="S120" s="22"/>
      <c r="T120" s="27"/>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6"/>
      <c r="I121" s="22"/>
      <c r="J121" s="22"/>
      <c r="K121" s="22"/>
      <c r="L121" s="22"/>
      <c r="M121" s="24"/>
      <c r="N121" s="22"/>
      <c r="O121" s="22"/>
      <c r="P121" s="22"/>
      <c r="Q121" s="23"/>
      <c r="R121" s="23"/>
      <c r="S121" s="22"/>
      <c r="T121" s="24"/>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4"/>
      <c r="N122" s="22"/>
      <c r="O122" s="22"/>
      <c r="P122" s="22"/>
      <c r="Q122" s="23"/>
      <c r="R122" s="23"/>
      <c r="S122" s="22"/>
      <c r="T122" s="24"/>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4"/>
      <c r="N123" s="22"/>
      <c r="O123" s="22"/>
      <c r="P123" s="22"/>
      <c r="Q123" s="23"/>
      <c r="R123" s="23"/>
      <c r="S123" s="22"/>
      <c r="T123" s="24"/>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6"/>
      <c r="I124" s="22"/>
      <c r="J124" s="22"/>
      <c r="K124" s="22"/>
      <c r="L124" s="22"/>
      <c r="M124" s="24"/>
      <c r="N124" s="22"/>
      <c r="O124" s="22"/>
      <c r="P124" s="22"/>
      <c r="Q124" s="23"/>
      <c r="R124" s="23"/>
      <c r="S124" s="22"/>
      <c r="T124" s="24"/>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3"/>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3"/>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3"/>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3"/>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3"/>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2"/>
      <c r="R139" s="28"/>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1"/>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2"/>
      <c r="F146" s="22"/>
      <c r="G146" s="22"/>
      <c r="H146" s="22"/>
      <c r="I146" s="22"/>
      <c r="J146" s="22"/>
      <c r="K146" s="22"/>
      <c r="L146" s="22"/>
      <c r="M146" s="22"/>
      <c r="N146" s="22"/>
      <c r="O146" s="22"/>
      <c r="P146" s="22"/>
      <c r="Q146" s="22"/>
      <c r="R146" s="28"/>
      <c r="S146" s="22"/>
      <c r="T146" s="22"/>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1"/>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6"/>
      <c r="I176" s="22"/>
      <c r="J176" s="22"/>
      <c r="K176" s="22"/>
      <c r="L176" s="22"/>
      <c r="M176" s="21"/>
      <c r="N176" s="22"/>
      <c r="O176" s="22"/>
      <c r="P176" s="22"/>
      <c r="Q176" s="23"/>
      <c r="R176" s="23"/>
      <c r="S176" s="22"/>
      <c r="T176" s="21"/>
      <c r="U176"/>
      <c r="V176"/>
      <c r="W176"/>
      <c r="X176"/>
      <c r="Y176" s="12"/>
      <c r="Z176" s="12"/>
      <c r="AA176" s="12"/>
      <c r="AB176" s="12"/>
      <c r="AC176" s="12"/>
      <c r="AD176" s="12"/>
      <c r="AE176" s="12"/>
      <c r="AF176" s="12"/>
      <c r="AG176" s="12"/>
      <c r="AH176" s="12"/>
      <c r="AI176" s="12"/>
    </row>
    <row r="177" spans="1:35" s="10" customFormat="1" x14ac:dyDescent="0.25">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25">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25">
      <c r="A180" s="12"/>
      <c r="B180" s="12"/>
      <c r="C180" s="12"/>
      <c r="D180"/>
      <c r="E180" s="24"/>
      <c r="F180" s="23"/>
      <c r="G180" s="22"/>
      <c r="H180" s="25"/>
      <c r="I180" s="22"/>
      <c r="J180" s="22"/>
      <c r="K180" s="22"/>
      <c r="L180" s="22"/>
      <c r="M180" s="24"/>
      <c r="N180" s="22"/>
      <c r="O180" s="22"/>
      <c r="P180" s="22"/>
      <c r="Q180" s="22"/>
      <c r="R180" s="22"/>
      <c r="S180" s="22"/>
      <c r="T180" s="19"/>
      <c r="U180"/>
      <c r="V180"/>
      <c r="W180"/>
      <c r="X180"/>
      <c r="Y180" s="12"/>
      <c r="Z180" s="12"/>
      <c r="AA180" s="12"/>
      <c r="AB180" s="12"/>
      <c r="AC180" s="12"/>
      <c r="AD180" s="12"/>
      <c r="AE180" s="12"/>
      <c r="AF180" s="12"/>
      <c r="AG180" s="12"/>
      <c r="AH180" s="12"/>
      <c r="AI180" s="12"/>
    </row>
    <row r="181" spans="1:35" s="10" customFormat="1" x14ac:dyDescent="0.25">
      <c r="A181" s="12"/>
      <c r="B181" s="12"/>
      <c r="C181" s="12"/>
      <c r="D181"/>
      <c r="E181"/>
      <c r="F181"/>
      <c r="G181"/>
      <c r="H181"/>
      <c r="I181"/>
      <c r="J181"/>
      <c r="K181"/>
      <c r="L181"/>
      <c r="M181"/>
      <c r="N181"/>
      <c r="O181"/>
      <c r="P181"/>
      <c r="Q181"/>
      <c r="R181"/>
      <c r="S181"/>
      <c r="T181"/>
      <c r="U181"/>
      <c r="V181"/>
      <c r="W181"/>
      <c r="X181"/>
      <c r="Y181" s="12"/>
      <c r="Z181" s="12"/>
      <c r="AA181" s="12"/>
      <c r="AB181" s="12"/>
      <c r="AC181" s="12"/>
      <c r="AD181" s="12"/>
      <c r="AE181" s="12"/>
      <c r="AF181" s="12"/>
      <c r="AG181" s="12"/>
      <c r="AH181" s="12"/>
      <c r="AI181" s="12"/>
    </row>
    <row r="182" spans="1:35" s="10" customFormat="1" x14ac:dyDescent="0.25">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25">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25">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25">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25">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25">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25">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2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2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2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2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25">
      <c r="A193" s="12"/>
      <c r="B193" s="12"/>
      <c r="C193" s="12"/>
      <c r="D193"/>
      <c r="E193" s="24"/>
      <c r="F193" s="23"/>
      <c r="G193" s="22"/>
      <c r="H193" s="22"/>
      <c r="I193" s="22"/>
      <c r="J193" s="22"/>
      <c r="K193" s="22"/>
      <c r="L193" s="22"/>
      <c r="M193" s="21"/>
      <c r="N193" s="22"/>
      <c r="O193" s="22"/>
      <c r="P193" s="22"/>
      <c r="Q193" s="22"/>
      <c r="R193" s="22"/>
      <c r="S193" s="22"/>
      <c r="T193" s="19"/>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19"/>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19"/>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19"/>
      <c r="F197" s="23"/>
      <c r="G197" s="22"/>
      <c r="H197" s="25"/>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19"/>
      <c r="F198" s="23"/>
      <c r="G198" s="22"/>
      <c r="H198" s="22"/>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19"/>
      <c r="F199" s="23"/>
      <c r="G199" s="22"/>
      <c r="H199" s="22"/>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2"/>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2"/>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4"/>
      <c r="F203" s="23"/>
      <c r="G203" s="23"/>
      <c r="H203" s="23"/>
      <c r="I203" s="22"/>
      <c r="J203" s="22"/>
      <c r="K203" s="22"/>
      <c r="L203" s="22"/>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3"/>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6"/>
      <c r="I213" s="22"/>
      <c r="J213" s="22"/>
      <c r="K213" s="22"/>
      <c r="L213" s="22"/>
      <c r="M213" s="21"/>
      <c r="N213" s="22"/>
      <c r="O213" s="22"/>
      <c r="P213" s="22"/>
      <c r="Q213" s="22"/>
      <c r="R213" s="28"/>
      <c r="S213" s="22"/>
      <c r="T213" s="20"/>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2"/>
      <c r="H214" s="22"/>
      <c r="I214" s="22"/>
      <c r="J214" s="22"/>
      <c r="K214" s="22"/>
      <c r="L214" s="22"/>
      <c r="M214" s="21"/>
      <c r="N214" s="22"/>
      <c r="O214" s="22"/>
      <c r="P214" s="22"/>
      <c r="Q214" s="22"/>
      <c r="R214" s="22"/>
      <c r="S214" s="22"/>
      <c r="T214" s="19"/>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19"/>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19"/>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19"/>
      <c r="F218" s="23"/>
      <c r="G218" s="22"/>
      <c r="H218" s="25"/>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19"/>
      <c r="F219" s="23"/>
      <c r="G219" s="22"/>
      <c r="H219" s="22"/>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19"/>
      <c r="F220" s="23"/>
      <c r="G220" s="22"/>
      <c r="H220" s="22"/>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2"/>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2"/>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4"/>
      <c r="F224" s="23"/>
      <c r="G224" s="23"/>
      <c r="H224" s="23"/>
      <c r="I224" s="22"/>
      <c r="J224" s="22"/>
      <c r="K224" s="22"/>
      <c r="L224" s="22"/>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3"/>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6"/>
      <c r="I234" s="22"/>
      <c r="J234" s="22"/>
      <c r="K234" s="22"/>
      <c r="L234" s="22"/>
      <c r="M234" s="21"/>
      <c r="N234" s="22"/>
      <c r="O234" s="22"/>
      <c r="P234" s="22"/>
      <c r="Q234" s="22"/>
      <c r="R234" s="28"/>
      <c r="S234" s="22"/>
      <c r="T234" s="20"/>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2"/>
      <c r="H235" s="22"/>
      <c r="I235" s="22"/>
      <c r="J235" s="22"/>
      <c r="K235" s="22"/>
      <c r="L235" s="22"/>
      <c r="M235" s="21"/>
      <c r="N235" s="22"/>
      <c r="O235" s="22"/>
      <c r="P235" s="22"/>
      <c r="Q235" s="22"/>
      <c r="R235" s="22"/>
      <c r="S235" s="22"/>
      <c r="T235" s="19"/>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19"/>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19"/>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19"/>
      <c r="F239" s="23"/>
      <c r="G239" s="22"/>
      <c r="H239" s="25"/>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19"/>
      <c r="F240" s="23"/>
      <c r="G240" s="22"/>
      <c r="H240" s="22"/>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19"/>
      <c r="F241" s="23"/>
      <c r="G241" s="22"/>
      <c r="H241" s="22"/>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2"/>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2"/>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4"/>
      <c r="F245" s="23"/>
      <c r="G245" s="23"/>
      <c r="H245" s="23"/>
      <c r="I245" s="22"/>
      <c r="J245" s="22"/>
      <c r="K245" s="22"/>
      <c r="L245" s="22"/>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3"/>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6"/>
      <c r="I255" s="22"/>
      <c r="J255" s="22"/>
      <c r="K255" s="22"/>
      <c r="L255" s="22"/>
      <c r="M255" s="21"/>
      <c r="N255" s="22"/>
      <c r="O255" s="22"/>
      <c r="P255" s="22"/>
      <c r="Q255" s="22"/>
      <c r="R255" s="28"/>
      <c r="S255" s="22"/>
      <c r="T255" s="20"/>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2"/>
      <c r="H256" s="22"/>
      <c r="I256" s="22"/>
      <c r="J256" s="22"/>
      <c r="K256" s="22"/>
      <c r="L256" s="22"/>
      <c r="M256" s="21"/>
      <c r="N256" s="22"/>
      <c r="O256" s="22"/>
      <c r="P256" s="22"/>
      <c r="Q256" s="22"/>
      <c r="R256" s="22"/>
      <c r="S256" s="22"/>
      <c r="T256" s="19"/>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4"/>
      <c r="N257" s="22"/>
      <c r="O257" s="22"/>
      <c r="P257" s="22"/>
      <c r="Q257" s="22"/>
      <c r="R257" s="28"/>
      <c r="S257" s="22"/>
      <c r="T257" s="24"/>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19"/>
      <c r="F258" s="23"/>
      <c r="G258" s="22"/>
      <c r="H258" s="22"/>
      <c r="I258" s="22"/>
      <c r="J258" s="22"/>
      <c r="K258" s="22"/>
      <c r="L258" s="23"/>
      <c r="M258" s="24"/>
      <c r="N258" s="22"/>
      <c r="O258" s="22"/>
      <c r="P258" s="22"/>
      <c r="Q258" s="22"/>
      <c r="R258" s="28"/>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19"/>
      <c r="F259" s="23"/>
      <c r="G259" s="22"/>
      <c r="H259" s="22"/>
      <c r="I259" s="22"/>
      <c r="J259" s="22"/>
      <c r="K259" s="22"/>
      <c r="L259" s="23"/>
      <c r="M259" s="24"/>
      <c r="N259" s="22"/>
      <c r="O259" s="22"/>
      <c r="P259" s="22"/>
      <c r="Q259" s="22"/>
      <c r="R259" s="28"/>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19"/>
      <c r="F260" s="23"/>
      <c r="G260" s="22"/>
      <c r="H260" s="25"/>
      <c r="I260" s="22"/>
      <c r="J260" s="22"/>
      <c r="K260" s="22"/>
      <c r="L260" s="23"/>
      <c r="M260" s="24"/>
      <c r="N260" s="22"/>
      <c r="O260" s="22"/>
      <c r="P260" s="22"/>
      <c r="Q260" s="22"/>
      <c r="R260" s="28"/>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19"/>
      <c r="F261" s="23"/>
      <c r="G261" s="22"/>
      <c r="H261" s="22"/>
      <c r="I261" s="22"/>
      <c r="J261" s="22"/>
      <c r="K261" s="22"/>
      <c r="L261" s="23"/>
      <c r="M261" s="24"/>
      <c r="N261" s="22"/>
      <c r="O261" s="22"/>
      <c r="P261" s="22"/>
      <c r="Q261" s="22"/>
      <c r="R261" s="28"/>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19"/>
      <c r="F262" s="23"/>
      <c r="G262" s="22"/>
      <c r="H262" s="22"/>
      <c r="I262" s="22"/>
      <c r="J262" s="22"/>
      <c r="K262" s="22"/>
      <c r="L262" s="23"/>
      <c r="M262" s="24"/>
      <c r="N262" s="22"/>
      <c r="O262" s="22"/>
      <c r="P262" s="22"/>
      <c r="Q262" s="22"/>
      <c r="R262" s="28"/>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22"/>
      <c r="F263" s="23"/>
      <c r="G263" s="22"/>
      <c r="H263" s="22"/>
      <c r="I263" s="22"/>
      <c r="J263" s="22"/>
      <c r="K263" s="22"/>
      <c r="L263" s="23"/>
      <c r="M263" s="24"/>
      <c r="N263" s="22"/>
      <c r="O263" s="22"/>
      <c r="P263" s="22"/>
      <c r="Q263" s="22"/>
      <c r="R263" s="28"/>
      <c r="S263" s="22"/>
      <c r="T263" s="24"/>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s="22"/>
      <c r="F264" s="23"/>
      <c r="G264" s="22"/>
      <c r="H264" s="22"/>
      <c r="I264" s="22"/>
      <c r="J264" s="22"/>
      <c r="K264" s="22"/>
      <c r="L264" s="23"/>
      <c r="M264" s="24"/>
      <c r="N264" s="22"/>
      <c r="O264" s="22"/>
      <c r="P264" s="22"/>
      <c r="Q264" s="22"/>
      <c r="R264" s="28"/>
      <c r="S264" s="22"/>
      <c r="T264" s="2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s="22"/>
      <c r="F265" s="23"/>
      <c r="G265" s="22"/>
      <c r="H265" s="22"/>
      <c r="I265" s="22"/>
      <c r="J265" s="22"/>
      <c r="K265" s="22"/>
      <c r="L265" s="23"/>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s="24"/>
      <c r="F266" s="23"/>
      <c r="G266" s="23"/>
      <c r="H266" s="23"/>
      <c r="I266" s="22"/>
      <c r="J266" s="22"/>
      <c r="K266" s="22"/>
      <c r="L266" s="22"/>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s="24"/>
      <c r="F267" s="23"/>
      <c r="G267" s="23"/>
      <c r="H267" s="23"/>
      <c r="I267" s="22"/>
      <c r="J267" s="22"/>
      <c r="K267" s="22"/>
      <c r="L267" s="22"/>
      <c r="M267" s="24"/>
      <c r="N267" s="22"/>
      <c r="O267" s="22"/>
      <c r="P267" s="22"/>
      <c r="Q267" s="23"/>
      <c r="R267" s="23"/>
      <c r="S267" s="22"/>
      <c r="T267" s="24"/>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s="24"/>
      <c r="F269" s="23"/>
      <c r="G269" s="23"/>
      <c r="H269" s="26"/>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s="24"/>
      <c r="F276" s="23"/>
      <c r="G276" s="23"/>
      <c r="H276" s="26"/>
      <c r="I276" s="22"/>
      <c r="J276" s="22"/>
      <c r="K276" s="22"/>
      <c r="L276" s="22"/>
      <c r="M276" s="21"/>
      <c r="N276" s="22"/>
      <c r="O276" s="22"/>
      <c r="P276" s="22"/>
      <c r="Q276" s="22"/>
      <c r="R276" s="28"/>
      <c r="S276" s="22"/>
      <c r="T276" s="20"/>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s="12"/>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2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2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2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2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2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2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2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2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2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2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2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2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2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2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2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2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2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2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2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2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2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2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2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2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25">
      <c r="A469" s="12"/>
      <c r="B469" s="12"/>
      <c r="C469" s="12"/>
      <c r="D469" s="15"/>
      <c r="E469"/>
      <c r="F469"/>
      <c r="G469" s="3"/>
      <c r="H469" s="3"/>
      <c r="I469" s="3"/>
      <c r="J469" s="3"/>
      <c r="K469"/>
      <c r="L469"/>
      <c r="M469"/>
      <c r="N469" s="3"/>
      <c r="O469" s="3"/>
      <c r="P469" s="3"/>
      <c r="Q469" s="3"/>
      <c r="R469" s="3"/>
      <c r="S469"/>
      <c r="T469"/>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2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2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2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2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2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2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2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2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2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2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2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2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2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sheetData>
  <mergeCells count="20">
    <mergeCell ref="T16:T17"/>
    <mergeCell ref="L16:L17"/>
    <mergeCell ref="H16:H17"/>
    <mergeCell ref="P16:P17"/>
    <mergeCell ref="S16:S17"/>
    <mergeCell ref="M16:M17"/>
    <mergeCell ref="N16:N17"/>
    <mergeCell ref="O16:O17"/>
    <mergeCell ref="I16:I17"/>
    <mergeCell ref="J16:J17"/>
    <mergeCell ref="K16:K17"/>
    <mergeCell ref="Q16:Q17"/>
    <mergeCell ref="R16:R17"/>
    <mergeCell ref="F16:F17"/>
    <mergeCell ref="G16:G17"/>
    <mergeCell ref="C16:C17"/>
    <mergeCell ref="B16:B17"/>
    <mergeCell ref="A16:A17"/>
    <mergeCell ref="D16:D17"/>
    <mergeCell ref="E16:E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5" r:id="rId4" name="CommandButton7">
          <controlPr autoLine="0" autoPict="0" r:id="rId5">
            <anchor moveWithCells="1">
              <from>
                <xdr:col>7</xdr:col>
                <xdr:colOff>342900</xdr:colOff>
                <xdr:row>4</xdr:row>
                <xdr:rowOff>19050</xdr:rowOff>
              </from>
              <to>
                <xdr:col>10</xdr:col>
                <xdr:colOff>781050</xdr:colOff>
                <xdr:row>5</xdr:row>
                <xdr:rowOff>19050</xdr:rowOff>
              </to>
            </anchor>
          </controlPr>
        </control>
      </mc:Choice>
      <mc:Fallback>
        <control shapeId="22535" r:id="rId4" name="CommandButton7"/>
      </mc:Fallback>
    </mc:AlternateContent>
    <mc:AlternateContent xmlns:mc="http://schemas.openxmlformats.org/markup-compatibility/2006">
      <mc:Choice Requires="x14">
        <control shapeId="22536" r:id="rId6" name="CommandButton8">
          <controlPr defaultSize="0" autoLine="0" r:id="rId7">
            <anchor moveWithCells="1">
              <from>
                <xdr:col>7</xdr:col>
                <xdr:colOff>342900</xdr:colOff>
                <xdr:row>2</xdr:row>
                <xdr:rowOff>0</xdr:rowOff>
              </from>
              <to>
                <xdr:col>11</xdr:col>
                <xdr:colOff>9525</xdr:colOff>
                <xdr:row>3</xdr:row>
                <xdr:rowOff>28575</xdr:rowOff>
              </to>
            </anchor>
          </controlPr>
        </control>
      </mc:Choice>
      <mc:Fallback>
        <control shapeId="22536" r:id="rId6" name="CommandButton8"/>
      </mc:Fallback>
    </mc:AlternateContent>
    <mc:AlternateContent xmlns:mc="http://schemas.openxmlformats.org/markup-compatibility/2006">
      <mc:Choice Requires="x14">
        <control shapeId="22537" r:id="rId8" name="CommandButton2">
          <controlPr autoLine="0" r:id="rId9">
            <anchor moveWithCells="1">
              <from>
                <xdr:col>7</xdr:col>
                <xdr:colOff>333375</xdr:colOff>
                <xdr:row>7</xdr:row>
                <xdr:rowOff>9525</xdr:rowOff>
              </from>
              <to>
                <xdr:col>11</xdr:col>
                <xdr:colOff>9525</xdr:colOff>
                <xdr:row>8</xdr:row>
                <xdr:rowOff>0</xdr:rowOff>
              </to>
            </anchor>
          </controlPr>
        </control>
      </mc:Choice>
      <mc:Fallback>
        <control shapeId="22537" r:id="rId8" name="CommandButton2"/>
      </mc:Fallback>
    </mc:AlternateContent>
    <mc:AlternateContent xmlns:mc="http://schemas.openxmlformats.org/markup-compatibility/2006">
      <mc:Choice Requires="x14">
        <control shapeId="22538" r:id="rId10" name="CommandButton3">
          <controlPr autoLine="0" r:id="rId11">
            <anchor moveWithCells="1">
              <from>
                <xdr:col>7</xdr:col>
                <xdr:colOff>333375</xdr:colOff>
                <xdr:row>9</xdr:row>
                <xdr:rowOff>9525</xdr:rowOff>
              </from>
              <to>
                <xdr:col>11</xdr:col>
                <xdr:colOff>9525</xdr:colOff>
                <xdr:row>10</xdr:row>
                <xdr:rowOff>0</xdr:rowOff>
              </to>
            </anchor>
          </controlPr>
        </control>
      </mc:Choice>
      <mc:Fallback>
        <control shapeId="22538" r:id="rId10"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C16" sqref="C16"/>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188</v>
      </c>
      <c r="D14" s="3">
        <v>3</v>
      </c>
      <c r="E14" t="s">
        <v>189</v>
      </c>
      <c r="F14" t="s">
        <v>190</v>
      </c>
    </row>
    <row r="15" spans="3:6" x14ac:dyDescent="0.25">
      <c r="C15" t="s">
        <v>186</v>
      </c>
      <c r="D15" s="3">
        <v>4</v>
      </c>
      <c r="E15" t="s">
        <v>187</v>
      </c>
      <c r="F15" t="s">
        <v>191</v>
      </c>
    </row>
    <row r="16" spans="3:6" x14ac:dyDescent="0.25">
      <c r="C16" t="s">
        <v>192</v>
      </c>
      <c r="D16" s="3">
        <v>5</v>
      </c>
      <c r="E16" t="s">
        <v>193</v>
      </c>
      <c r="F16" t="s">
        <v>194</v>
      </c>
    </row>
    <row r="17" spans="3:5" x14ac:dyDescent="0.25">
      <c r="C17" t="s">
        <v>245</v>
      </c>
      <c r="D17" s="3">
        <v>6</v>
      </c>
      <c r="E17" t="s">
        <v>87</v>
      </c>
    </row>
    <row r="18" spans="3:5" x14ac:dyDescent="0.25">
      <c r="C18" s="2"/>
      <c r="D18" s="3">
        <v>7</v>
      </c>
    </row>
    <row r="19" spans="3:5" x14ac:dyDescent="0.25">
      <c r="C19"/>
      <c r="D19" s="3">
        <v>8</v>
      </c>
    </row>
    <row r="20" spans="3:5" x14ac:dyDescent="0.25">
      <c r="C20"/>
      <c r="D20" s="3">
        <v>9</v>
      </c>
    </row>
    <row r="21" spans="3:5" x14ac:dyDescent="0.25">
      <c r="D21" s="3">
        <v>10</v>
      </c>
    </row>
    <row r="22" spans="3:5" x14ac:dyDescent="0.25">
      <c r="D22" s="3">
        <v>11</v>
      </c>
    </row>
    <row r="23" spans="3:5" x14ac:dyDescent="0.25">
      <c r="C23"/>
      <c r="D23" s="3">
        <v>12</v>
      </c>
    </row>
    <row r="24" spans="3:5" x14ac:dyDescent="0.25">
      <c r="C24" s="2"/>
      <c r="D24" s="3">
        <v>13</v>
      </c>
    </row>
    <row r="25" spans="3:5" x14ac:dyDescent="0.25">
      <c r="D25" s="3">
        <v>14</v>
      </c>
    </row>
    <row r="26" spans="3:5" x14ac:dyDescent="0.25">
      <c r="C26"/>
      <c r="D26" s="3">
        <v>15</v>
      </c>
    </row>
    <row r="27" spans="3:5" x14ac:dyDescent="0.25">
      <c r="C27"/>
      <c r="D27" s="3">
        <v>16</v>
      </c>
    </row>
    <row r="28" spans="3:5" x14ac:dyDescent="0.25">
      <c r="C28"/>
      <c r="D28" s="3">
        <v>17</v>
      </c>
    </row>
    <row r="29" spans="3:5" x14ac:dyDescent="0.25">
      <c r="C29"/>
      <c r="D29" s="3">
        <v>18</v>
      </c>
    </row>
    <row r="30" spans="3:5" x14ac:dyDescent="0.25">
      <c r="C30"/>
      <c r="D30" s="3">
        <v>19</v>
      </c>
    </row>
    <row r="31" spans="3:5" x14ac:dyDescent="0.25">
      <c r="C31"/>
      <c r="D31" s="3">
        <v>20</v>
      </c>
    </row>
    <row r="32" spans="3:5"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Bartovský Jan</cp:lastModifiedBy>
  <dcterms:created xsi:type="dcterms:W3CDTF">2006-09-16T00:00:00Z</dcterms:created>
  <dcterms:modified xsi:type="dcterms:W3CDTF">2023-11-07T16:17:56Z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