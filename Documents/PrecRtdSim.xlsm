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vzen\OneDrive\Dokumenty\RTD_repo\Documents\"/>
    </mc:Choice>
  </mc:AlternateContent>
  <xr:revisionPtr revIDLastSave="0" documentId="13_ncr:1_{BA7E1443-AFA1-4509-B2F4-EA8130803501}" xr6:coauthVersionLast="47" xr6:coauthVersionMax="47" xr10:uidLastSave="{00000000-0000-0000-0000-000000000000}"/>
  <bookViews>
    <workbookView xWindow="-120" yWindow="-1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6" i="25" l="1"/>
  <c r="L121" i="25"/>
  <c r="L111" i="25"/>
  <c r="L112" i="25"/>
  <c r="L113" i="25"/>
  <c r="L109" i="25"/>
  <c r="L110" i="25"/>
  <c r="L108" i="25"/>
  <c r="L107" i="25"/>
  <c r="L80" i="25"/>
  <c r="L71" i="25"/>
  <c r="L70" i="25"/>
  <c r="L66" i="25"/>
  <c r="L19" i="25"/>
  <c r="L20" i="25"/>
  <c r="K39" i="25" l="1"/>
  <c r="K34" i="25"/>
  <c r="K35" i="25"/>
  <c r="K36" i="25"/>
  <c r="K38" i="25"/>
  <c r="I34" i="25"/>
  <c r="I35" i="25"/>
  <c r="I36" i="25" s="1"/>
  <c r="I39" i="25"/>
  <c r="I68" i="25"/>
  <c r="I69" i="25" s="1"/>
  <c r="I70" i="25" s="1"/>
  <c r="I71" i="25" s="1"/>
  <c r="I72" i="25" s="1"/>
  <c r="I73" i="25" s="1"/>
  <c r="I74" i="25" s="1"/>
  <c r="I75" i="25" s="1"/>
  <c r="I76" i="25" s="1"/>
  <c r="I77" i="25" s="1"/>
  <c r="I78" i="25" s="1"/>
  <c r="I79" i="25" s="1"/>
  <c r="I80" i="25" s="1"/>
  <c r="I81" i="25" s="1"/>
  <c r="I82" i="25" s="1"/>
  <c r="I83" i="25" s="1"/>
  <c r="I84" i="25" s="1"/>
  <c r="I85" i="25" s="1"/>
  <c r="I86" i="25" s="1"/>
  <c r="I87" i="25" s="1"/>
  <c r="I88" i="25" s="1"/>
  <c r="I89" i="25" s="1"/>
  <c r="I90" i="25" s="1"/>
  <c r="I91" i="25" s="1"/>
  <c r="I92" i="25" s="1"/>
  <c r="I93" i="25" s="1"/>
  <c r="I94" i="25" s="1"/>
  <c r="I95" i="25" s="1"/>
  <c r="I96" i="25" s="1"/>
  <c r="I97" i="25" s="1"/>
  <c r="I98" i="25" s="1"/>
  <c r="I99" i="25" s="1"/>
  <c r="I100" i="25" s="1"/>
  <c r="I101" i="25" s="1"/>
  <c r="I102" i="25" s="1"/>
  <c r="I103" i="25" s="1"/>
  <c r="I104" i="25" s="1"/>
  <c r="I105" i="25" s="1"/>
  <c r="I106" i="25" s="1"/>
  <c r="I107" i="25" s="1"/>
  <c r="I108" i="25" s="1"/>
  <c r="I109" i="25" s="1"/>
  <c r="I110" i="25" s="1"/>
  <c r="I111" i="25" s="1"/>
  <c r="I112" i="25" s="1"/>
  <c r="I113" i="25" s="1"/>
  <c r="I114" i="25" s="1"/>
  <c r="I115" i="25" s="1"/>
  <c r="I116" i="25" s="1"/>
  <c r="I117" i="25" s="1"/>
  <c r="I118" i="25" s="1"/>
  <c r="K118" i="25" s="1"/>
  <c r="I55" i="25"/>
  <c r="I56" i="25"/>
  <c r="I57" i="25" s="1"/>
  <c r="I58" i="25" s="1"/>
  <c r="I59" i="25" s="1"/>
  <c r="I60" i="25" s="1"/>
  <c r="I67" i="25"/>
  <c r="K108" i="25" l="1"/>
  <c r="K104" i="25"/>
  <c r="K103" i="25"/>
  <c r="K102" i="25"/>
  <c r="K101" i="25"/>
  <c r="K100" i="25"/>
  <c r="K99" i="25"/>
  <c r="K107" i="25"/>
  <c r="K106" i="25"/>
  <c r="K113" i="25"/>
  <c r="K105" i="25"/>
  <c r="K117" i="25"/>
  <c r="K114" i="25"/>
  <c r="K112" i="25"/>
  <c r="K111" i="25"/>
  <c r="K110" i="25"/>
  <c r="K109" i="25"/>
  <c r="K116" i="25"/>
  <c r="K115" i="25"/>
  <c r="K67" i="25"/>
  <c r="K121" i="25"/>
  <c r="L57" i="25"/>
  <c r="L58" i="25"/>
  <c r="L59" i="25"/>
  <c r="K55" i="25"/>
  <c r="I45" i="25"/>
  <c r="I46" i="25" s="1"/>
  <c r="I47" i="25" s="1"/>
  <c r="I48" i="25" s="1"/>
  <c r="I49" i="25" s="1"/>
  <c r="I50" i="25" s="1"/>
  <c r="I51" i="25" s="1"/>
  <c r="I52" i="25" s="1"/>
  <c r="I53" i="25" s="1"/>
  <c r="I54" i="25" s="1"/>
  <c r="I18" i="25"/>
  <c r="I19" i="25" s="1"/>
  <c r="I20" i="25" s="1"/>
  <c r="I21" i="25" s="1"/>
  <c r="I22" i="25" s="1"/>
  <c r="I23" i="25" s="1"/>
  <c r="I24" i="25" s="1"/>
  <c r="I25" i="25" s="1"/>
  <c r="I26" i="25" s="1"/>
  <c r="I27" i="25" s="1"/>
  <c r="I28" i="25" s="1"/>
  <c r="I29" i="25" s="1"/>
  <c r="K68" i="25" l="1"/>
  <c r="L116" i="25"/>
  <c r="L117" i="25"/>
  <c r="L118" i="25"/>
  <c r="K69" i="25" l="1"/>
  <c r="F7" i="25"/>
  <c r="K70" i="25" l="1"/>
  <c r="L60" i="25"/>
  <c r="L54" i="25"/>
  <c r="L50" i="25"/>
  <c r="L44" i="25"/>
  <c r="L29" i="25"/>
  <c r="F8" i="25"/>
  <c r="F12" i="25"/>
  <c r="K71" i="25" l="1"/>
  <c r="L39" i="25"/>
  <c r="L38" i="25"/>
  <c r="L36" i="25"/>
  <c r="L35" i="25"/>
  <c r="L34" i="25"/>
  <c r="L33" i="25"/>
  <c r="L28" i="25"/>
  <c r="L27" i="25"/>
  <c r="L18" i="25"/>
  <c r="K33" i="25"/>
  <c r="K72" i="25" l="1"/>
  <c r="K18" i="25"/>
  <c r="K73" i="25" l="1"/>
  <c r="K21" i="25"/>
  <c r="K19" i="25"/>
  <c r="K74" i="25" l="1"/>
  <c r="K22" i="25"/>
  <c r="K20" i="25"/>
  <c r="K75" i="25" l="1"/>
  <c r="K44" i="25"/>
  <c r="K23" i="25"/>
  <c r="K24" i="25"/>
  <c r="K76" i="25" l="1"/>
  <c r="K45" i="25"/>
  <c r="K25" i="25"/>
  <c r="K77" i="25" l="1"/>
  <c r="K46" i="25"/>
  <c r="K26" i="25"/>
  <c r="K78" i="25" l="1"/>
  <c r="K47" i="25"/>
  <c r="K27" i="25"/>
  <c r="K79" i="25" l="1"/>
  <c r="K48" i="25"/>
  <c r="K29" i="25"/>
  <c r="K28" i="25"/>
  <c r="K80" i="25" l="1"/>
  <c r="K49" i="25"/>
  <c r="K81" i="25" l="1"/>
  <c r="K50" i="25"/>
  <c r="K82" i="25" l="1"/>
  <c r="K51" i="25"/>
  <c r="K83" i="25" l="1"/>
  <c r="K52" i="25"/>
  <c r="K84" i="25" l="1"/>
  <c r="K53" i="25"/>
  <c r="K85" i="25" l="1"/>
  <c r="K54" i="25"/>
  <c r="K86" i="25" l="1"/>
  <c r="K56" i="25"/>
  <c r="K87" i="25" l="1"/>
  <c r="K57" i="25"/>
  <c r="K88" i="25" l="1"/>
  <c r="K58" i="25"/>
  <c r="K89" i="25" l="1"/>
  <c r="K59" i="25"/>
  <c r="K90" i="25" l="1"/>
  <c r="K60" i="25"/>
  <c r="K91" i="25" l="1"/>
  <c r="K92" i="25" l="1"/>
  <c r="K93" i="25" l="1"/>
  <c r="K94" i="25" l="1"/>
  <c r="K95" i="25" l="1"/>
  <c r="K96" i="25" l="1"/>
  <c r="K97" i="25" l="1"/>
  <c r="K98" i="25" l="1"/>
</calcChain>
</file>

<file path=xl/sharedStrings.xml><?xml version="1.0" encoding="utf-8"?>
<sst xmlns="http://schemas.openxmlformats.org/spreadsheetml/2006/main" count="555" uniqueCount="366">
  <si>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</si>
  <si>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</si>
  <si>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</si>
  <si>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</si>
  <si>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</si>
  <si>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</si>
  <si>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</si>
  <si>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</si>
  <si>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</si>
  <si>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</si>
  <si>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</si>
  <si>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</si>
  <si>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</si>
  <si>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</si>
  <si>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</si>
  <si>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</si>
  <si>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</si>
  <si>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</si>
  <si>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</si>
  <si>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</si>
  <si>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</si>
  <si>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</si>
  <si>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</si>
  <si>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</si>
  <si>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</si>
  <si>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</si>
  <si>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</si>
  <si>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</si>
  <si>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</si>
  <si>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</si>
  <si>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</si>
  <si>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</si>
  <si>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</si>
  <si>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</si>
  <si>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</si>
  <si>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</si>
  <si>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Block ID</t>
  </si>
  <si>
    <t>Data Type</t>
  </si>
  <si>
    <t>8-15</t>
  </si>
  <si>
    <t>ERROR</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</si>
  <si>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</si>
  <si>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</si>
  <si>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</si>
  <si>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</si>
  <si>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</si>
  <si>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</si>
  <si>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</si>
  <si>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</si>
  <si>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</si>
  <si>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</si>
  <si>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</si>
  <si>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</si>
  <si>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</si>
  <si>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</si>
  <si>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</si>
  <si>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</si>
  <si>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</si>
  <si>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</si>
  <si>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</si>
  <si>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</si>
  <si>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</si>
  <si>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</si>
  <si>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</si>
  <si>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</si>
  <si>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</si>
  <si>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</si>
  <si>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</si>
  <si>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</si>
  <si>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</si>
  <si>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</si>
  <si>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</si>
  <si>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</si>
  <si>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</si>
  <si>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</si>
  <si>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</si>
  <si>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</si>
  <si>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</si>
  <si>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</si>
  <si>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</si>
  <si>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</si>
  <si>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</si>
  <si>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</si>
  <si>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</si>
  <si>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</si>
  <si>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</si>
  <si>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</si>
  <si>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</si>
  <si>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</si>
  <si>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</si>
  <si>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</si>
  <si>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</si>
  <si>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</si>
  <si>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</si>
  <si>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</si>
  <si>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</si>
  <si>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</si>
  <si>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</si>
  <si>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</si>
  <si>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</si>
  <si>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</si>
  <si>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</si>
  <si>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</si>
  <si>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</si>
  <si>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</si>
  <si>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</si>
  <si>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</si>
  <si>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</si>
  <si>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</si>
  <si>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</si>
  <si>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</si>
  <si>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</si>
  <si>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</si>
  <si>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</si>
  <si>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</si>
  <si>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</si>
  <si>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</si>
  <si>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</si>
  <si>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</si>
  <si>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</si>
  <si>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</si>
  <si>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</si>
  <si>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</si>
  <si>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</si>
  <si>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</si>
  <si>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</si>
  <si>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</si>
  <si>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</si>
  <si>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</si>
  <si>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</si>
  <si>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</si>
  <si>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</si>
  <si>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</si>
  <si>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</si>
  <si>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</si>
  <si>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</si>
  <si>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</si>
  <si>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</si>
  <si>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</si>
  <si>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</si>
  <si>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</si>
  <si>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</si>
  <si>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</si>
  <si>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</si>
  <si>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</si>
  <si>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</si>
  <si>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</si>
  <si>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</si>
  <si>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</si>
  <si>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</si>
  <si>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</si>
  <si>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</si>
  <si>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</si>
  <si>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</si>
  <si>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</si>
  <si>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</si>
  <si>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</si>
  <si>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</si>
  <si>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</si>
  <si>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</si>
  <si>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</si>
  <si>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</si>
  <si>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</si>
  <si>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</si>
  <si>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</si>
  <si>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</si>
  <si>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</si>
  <si>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</si>
  <si>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</si>
  <si>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</si>
  <si>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</si>
  <si>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</si>
  <si>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</si>
  <si>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</si>
  <si>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</si>
  <si>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</si>
  <si>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</si>
  <si>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</si>
  <si>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</si>
  <si>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</si>
  <si>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</si>
  <si>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</si>
  <si>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</si>
  <si>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</si>
  <si>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</si>
  <si>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</si>
  <si>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</si>
  <si>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</si>
  <si>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</si>
  <si>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</si>
  <si>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</si>
  <si>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</si>
  <si>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</si>
  <si>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</si>
  <si>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</si>
  <si>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</si>
  <si>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</si>
  <si>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</si>
  <si>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</si>
  <si>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</si>
  <si>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</si>
  <si>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</si>
  <si>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</si>
  <si>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</si>
  <si>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</si>
  <si>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</si>
  <si>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</si>
  <si>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</si>
  <si>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</si>
  <si>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</si>
  <si>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</si>
  <si>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</si>
  <si>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</si>
  <si>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</si>
  <si>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</si>
  <si>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</si>
  <si>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</si>
  <si>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</si>
  <si>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</si>
  <si>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</si>
  <si>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</si>
  <si>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</si>
  <si>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</si>
  <si>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</si>
  <si>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</si>
  <si>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</si>
  <si>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</si>
  <si>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</si>
  <si>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</si>
  <si>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</si>
  <si>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</si>
  <si>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</si>
  <si>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</si>
  <si>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</si>
  <si>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</si>
  <si>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</si>
  <si>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</si>
  <si>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</si>
  <si>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</si>
  <si>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</si>
  <si>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</si>
  <si>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</si>
  <si>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Ohm</t>
  </si>
  <si>
    <t>NTC_BETA</t>
  </si>
  <si>
    <t>NTC beta</t>
  </si>
  <si>
    <t>NTC beta coefficient for computation</t>
  </si>
  <si>
    <t>NTC_STOCK_RES</t>
  </si>
  <si>
    <t>NTC stock resistance</t>
  </si>
  <si>
    <t>PT_STOCK_RES</t>
  </si>
  <si>
    <t>Platinum stock resistance</t>
  </si>
  <si>
    <t>Emulation mode</t>
  </si>
  <si>
    <t>HA 100</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</si>
  <si>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</si>
  <si>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</si>
  <si>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</si>
  <si>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</si>
  <si>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</si>
  <si>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</si>
  <si>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</si>
  <si>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</si>
  <si>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</si>
  <si>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</si>
  <si>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</si>
  <si>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</si>
  <si>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</si>
  <si>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C:\Users\evzen\OneDrive\Dokumenty\RTD_repo\Documents\txts\PrecRtdSim_Define.txt</t>
  </si>
  <si>
    <t>C:\Users\evzen\OneDrive\Dokumenty\RTD_repo\Documents\txts\PrecRtdSim_Storage.txt</t>
  </si>
  <si>
    <t>C:\Users\evzen\OneDrive\Dokumenty\RTD_repo\Documents\txts\PrecRtdSim_Factory.txt</t>
  </si>
  <si>
    <t>C:\Users\evzen\OneDrive\Dokumenty\RTD_repo\Documents\txts\reg_map.c</t>
  </si>
  <si>
    <t>C:\Users\evzen\OneDrive\Dokumenty\RTD_repo\Documents\txts\PrecRtdSim_Modbus.json</t>
  </si>
  <si>
    <t>C:\Users\evzen\OneDrive\Dokumenty\RTD_repo\Documents\txts\PrecRtdSimRegs.py</t>
  </si>
  <si>
    <t>C:\Users\evzen\OneDrive\Dokumenty\RTD_repo\Documents\txts\PrecRtdSim_registers.json</t>
  </si>
  <si>
    <t>C:\Users\evzen\OneDrive\Dokumenty\RTD_repo\Tests\prec-rtd-sim\</t>
  </si>
  <si>
    <t>C:\Users\evzen\OneDrive\Dokumenty\RTD_repo\Firmware\PrecRtdSim-APP\Core\Serial\</t>
  </si>
  <si>
    <t>SLEWRATE</t>
  </si>
  <si>
    <t>SLEWRATE_MAX</t>
  </si>
  <si>
    <t>SLEWRATE_MIN</t>
  </si>
  <si>
    <t>SLEWRATE_MODE</t>
  </si>
  <si>
    <t>RTD_SLEWRATE_OFF</t>
  </si>
  <si>
    <t>RTD_SLEWRATE_ON</t>
  </si>
  <si>
    <t>Temp slew rate mode</t>
  </si>
  <si>
    <t>Slew rate off</t>
  </si>
  <si>
    <t>Slew rate on</t>
  </si>
  <si>
    <t>Temperature slew rate mode ON</t>
  </si>
  <si>
    <t>Temperature slew rate mode OFF</t>
  </si>
  <si>
    <t xml:space="preserve">Temperature slew rate </t>
  </si>
  <si>
    <t>Min temperature in SR mode</t>
  </si>
  <si>
    <t>Max temperature in SR mode</t>
  </si>
  <si>
    <t>C/s</t>
  </si>
  <si>
    <t>C</t>
  </si>
  <si>
    <t>Set maximum of temperature range in SR mode</t>
  </si>
  <si>
    <t>Set minimum of temperature range in SR mode</t>
  </si>
  <si>
    <t>Temperature slew rate in C/s</t>
  </si>
  <si>
    <t xml:space="preserve">Temperature slew rate MODE </t>
  </si>
  <si>
    <t>Platinum stock resistance at 0 C
Value 100 - PT100
Value 500 - PT500
Value 1000 - PT1000</t>
  </si>
  <si>
    <t>NTC stock resistance at 25 C (10000 for common 10k NTC)</t>
  </si>
  <si>
    <t>Mode of RTD emulation.</t>
  </si>
  <si>
    <t>CHANNEL_SELECT</t>
  </si>
  <si>
    <t>RTD channel selection</t>
  </si>
  <si>
    <t>Resistance that should be set at RTD port</t>
  </si>
  <si>
    <t>Temperature that should be set at RTD port</t>
  </si>
  <si>
    <t>EXP_BOARD1_ADDR1</t>
  </si>
  <si>
    <t>EXP_BOARD1_ADDR2</t>
  </si>
  <si>
    <t>EXP_BOARD2_ADDR1</t>
  </si>
  <si>
    <t>EXP_BOARD2_ADDR2</t>
  </si>
  <si>
    <t>RTD_EXP_BOARD2_ADDR1</t>
  </si>
  <si>
    <t>RTD_EXP_BOARD2_ADDR2</t>
  </si>
  <si>
    <t>B1_ADDR1_000</t>
  </si>
  <si>
    <t>B1_ADDR1_001</t>
  </si>
  <si>
    <t>B1_ADDR1_010</t>
  </si>
  <si>
    <t>B1_ADDR1_011</t>
  </si>
  <si>
    <t>B1_ADDR1_100</t>
  </si>
  <si>
    <t>B1_ADDR1_101</t>
  </si>
  <si>
    <t>B1_ADDR1_110</t>
  </si>
  <si>
    <t>B1_ADDR1_111</t>
  </si>
  <si>
    <t>B1_ADDR2_000</t>
  </si>
  <si>
    <t>B1_ADDR2_001</t>
  </si>
  <si>
    <t>B1_ADDR2_010</t>
  </si>
  <si>
    <t>B1_ADDR2_011</t>
  </si>
  <si>
    <t>B1_ADDR2_100</t>
  </si>
  <si>
    <t>B1_ADDR2_101</t>
  </si>
  <si>
    <t>B1_ADDR2_110</t>
  </si>
  <si>
    <t>B1_ADDR2_111</t>
  </si>
  <si>
    <t>B2_ADDR1_000</t>
  </si>
  <si>
    <t>B2_ADDR1_001</t>
  </si>
  <si>
    <t>B2_ADDR1_010</t>
  </si>
  <si>
    <t>B2_ADDR1_011</t>
  </si>
  <si>
    <t>B2_ADDR1_100</t>
  </si>
  <si>
    <t>B2_ADDR1_101</t>
  </si>
  <si>
    <t>B2_ADDR1_110</t>
  </si>
  <si>
    <t>B2_ADDR1_111</t>
  </si>
  <si>
    <t>B2_ADDR2_000</t>
  </si>
  <si>
    <t>B2_ADDR2_001</t>
  </si>
  <si>
    <t>B2_ADDR2_010</t>
  </si>
  <si>
    <t>B2_ADDR2_011</t>
  </si>
  <si>
    <t>B2_ADDR2_100</t>
  </si>
  <si>
    <t>B2_ADDR2_101</t>
  </si>
  <si>
    <t>B2_ADDR2_110</t>
  </si>
  <si>
    <t>B2_ADDR2_111</t>
  </si>
  <si>
    <t>EXP_BOARD_INIT</t>
  </si>
  <si>
    <t>RTD channel selection (0 = main board, 1-4 = 1. expansion board, 5-8 = 2. expansion board, )</t>
  </si>
  <si>
    <t>ADDR2_000</t>
  </si>
  <si>
    <t>ADDR2_011</t>
  </si>
  <si>
    <t>ADDR2_100</t>
  </si>
  <si>
    <t>ADDR2_101</t>
  </si>
  <si>
    <t>ADDR2_110</t>
  </si>
  <si>
    <t>ADDR2_111</t>
  </si>
  <si>
    <t>ADDR1_000</t>
  </si>
  <si>
    <t>ADDR1_010</t>
  </si>
  <si>
    <t>ADDR1_011</t>
  </si>
  <si>
    <t>ADDR1_100</t>
  </si>
  <si>
    <t>ADDR1_101</t>
  </si>
  <si>
    <t>ADDR1_110</t>
  </si>
  <si>
    <t>ADDR1_111</t>
  </si>
  <si>
    <t>ADDR2_001</t>
  </si>
  <si>
    <t>ADDR2_010</t>
  </si>
  <si>
    <t>ADDR1_001</t>
  </si>
  <si>
    <t>Write 1 to init/reset exp. boards on addr change or new board</t>
  </si>
  <si>
    <t>Expansion board address init/reset</t>
  </si>
  <si>
    <t>2. expansion board address E2</t>
  </si>
  <si>
    <t>Select E2 expansion board 2 address A2|A1|A0</t>
  </si>
  <si>
    <t>Select E1 expansion board  address A2|A1|A0</t>
  </si>
  <si>
    <t>Select E2 expansion board  address A2|A1|A0</t>
  </si>
  <si>
    <t>1. expansion board address E2</t>
  </si>
  <si>
    <t>Select E1 expansion board address A2|A1|A0</t>
  </si>
  <si>
    <t>1. expansion board address E1</t>
  </si>
  <si>
    <t>2. expansion board address 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</si>
</sst>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4">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3" fillId="0" borderId="0" xfId="0" applyFont="1" applyAlignment="1">
      <alignment horizontal="center" vertical="top"/>
    </xf>
    <xf numFmtId="0" fontId="3" fillId="0" borderId="0" xfId="0" applyFont="1" applyAlignment="1">
      <alignment horizontal="center"/>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83" zoomScaleNormal="100" workbookViewId="0">
      <selection activeCell="E113" sqref="E113"/>
    </sheetView>
  </sheetViews>
  <sheetFormatPr defaultColWidth="9.140625" defaultRowHeight="15" x14ac:dyDescent="0.25"/>
  <cols>
    <col min="1" max="1" width="2.28515625" style="12" customWidth="1"/>
    <col min="2" max="3" width="2.140625" style="12" customWidth="1"/>
    <col min="4" max="4" width="1.5703125" style="12" customWidth="1"/>
    <col min="5" max="5" width="28"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40.2851562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138</v>
      </c>
      <c r="L3" s="8" t="s">
        <v>267</v>
      </c>
      <c r="T3" s="29"/>
    </row>
    <row r="4" spans="1:26" ht="24.95" customHeight="1" x14ac:dyDescent="0.25">
      <c r="D4" s="29" t="s">
        <v>18</v>
      </c>
      <c r="E4" s="29"/>
      <c r="F4" s="29" t="s">
        <v>110</v>
      </c>
      <c r="J4" s="3" t="s">
        <v>1</v>
      </c>
      <c r="K4" s="9" t="s">
        <v>5</v>
      </c>
      <c r="L4" s="8" t="s">
        <v>264</v>
      </c>
      <c r="M4" s="11"/>
      <c r="U4" s="12" t="s">
        <v>1</v>
      </c>
      <c r="Z4" s="10"/>
    </row>
    <row r="5" spans="1:26" ht="24.95" customHeight="1" x14ac:dyDescent="0.25">
      <c r="D5" s="29" t="s">
        <v>19</v>
      </c>
      <c r="E5" s="29"/>
      <c r="F5" s="29" t="s">
        <v>20</v>
      </c>
      <c r="J5" s="3" t="s">
        <v>1</v>
      </c>
      <c r="K5" s="9" t="s">
        <v>97</v>
      </c>
      <c r="L5" s="8" t="s">
        <v>176</v>
      </c>
      <c r="M5" s="11"/>
      <c r="U5" s="12" t="s">
        <v>1</v>
      </c>
      <c r="Z5" s="10"/>
    </row>
    <row r="6" spans="1:26" ht="24.95" customHeight="1" x14ac:dyDescent="0.25">
      <c r="D6" s="29" t="s">
        <v>60</v>
      </c>
      <c r="E6" s="13"/>
      <c r="F6" s="30">
        <v>1</v>
      </c>
      <c r="J6" s="3" t="s">
        <v>1</v>
      </c>
      <c r="K6" s="9" t="s">
        <v>17</v>
      </c>
      <c r="L6" s="8" t="s">
        <v>265</v>
      </c>
      <c r="M6" s="11"/>
      <c r="U6" s="12" t="s">
        <v>1</v>
      </c>
      <c r="Z6" s="10"/>
    </row>
    <row r="7" spans="1:26" ht="24.95" customHeight="1" x14ac:dyDescent="0.25">
      <c r="D7" s="29" t="s">
        <v>137</v>
      </c>
      <c r="E7" s="13"/>
      <c r="F7" s="29" t="str">
        <f>GetWorkName()</f>
        <v>PrecRtdSim</v>
      </c>
      <c r="J7" s="3" t="s">
        <v>1</v>
      </c>
      <c r="K7" s="9" t="s">
        <v>21</v>
      </c>
      <c r="L7" s="8" t="s">
        <v>266</v>
      </c>
      <c r="M7" s="11"/>
      <c r="U7" s="12" t="s">
        <v>1</v>
      </c>
      <c r="Z7" s="10"/>
    </row>
    <row r="8" spans="1:26" ht="24.95" customHeight="1" x14ac:dyDescent="0.25">
      <c r="D8" s="29" t="s">
        <v>114</v>
      </c>
      <c r="E8" s="13"/>
      <c r="F8" s="29" t="str">
        <f>GetPath()&amp;"\..\Firmware\PrecRtdSim-APP\Core\Common\"</f>
        <v>C:\Users\evzen\OneDrive\Dokumenty\RTD_repo\Documents\..\Firmware\PrecRtdSim-APP\Core\Common\</v>
      </c>
      <c r="J8" s="3" t="s">
        <v>1</v>
      </c>
      <c r="K8" s="9" t="s">
        <v>139</v>
      </c>
      <c r="L8" s="8" t="s">
        <v>268</v>
      </c>
      <c r="M8" s="11"/>
      <c r="U8" s="12" t="s">
        <v>1</v>
      </c>
      <c r="Z8" s="10"/>
    </row>
    <row r="9" spans="1:26" ht="24.95" customHeight="1" x14ac:dyDescent="0.25">
      <c r="D9" s="29" t="s">
        <v>142</v>
      </c>
      <c r="E9" s="13"/>
      <c r="F9" s="29" t="s">
        <v>272</v>
      </c>
      <c r="J9" s="3"/>
      <c r="K9" s="9" t="s">
        <v>1</v>
      </c>
      <c r="L9" s="8" t="s">
        <v>269</v>
      </c>
      <c r="M9" s="11"/>
      <c r="Z9" s="10"/>
    </row>
    <row r="10" spans="1:26" ht="24.95" customHeight="1" x14ac:dyDescent="0.25">
      <c r="D10" s="29" t="s">
        <v>147</v>
      </c>
      <c r="E10" s="13"/>
      <c r="F10" s="29" t="s">
        <v>271</v>
      </c>
      <c r="K10" s="9" t="s">
        <v>148</v>
      </c>
      <c r="L10" s="8" t="s">
        <v>270</v>
      </c>
      <c r="M10" s="11"/>
    </row>
    <row r="11" spans="1:26" ht="24.75" customHeight="1" x14ac:dyDescent="0.25">
      <c r="D11" s="29" t="s">
        <v>149</v>
      </c>
      <c r="F11" s="29"/>
      <c r="K11" s="10"/>
      <c r="M11" s="11"/>
    </row>
    <row r="12" spans="1:26" ht="24.75" customHeight="1" x14ac:dyDescent="0.25">
      <c r="D12" s="29" t="s">
        <v>145</v>
      </c>
      <c r="E12" s="11"/>
      <c r="F12" s="29"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1"/>
      <c r="B16" s="51"/>
      <c r="C16" s="50"/>
      <c r="D16" s="40" t="s">
        <v>8</v>
      </c>
      <c r="E16" s="53" t="s">
        <v>33</v>
      </c>
      <c r="F16" s="42" t="s">
        <v>10</v>
      </c>
      <c r="G16" s="42" t="s">
        <v>37</v>
      </c>
      <c r="H16" s="42" t="s">
        <v>11</v>
      </c>
      <c r="I16" s="40" t="s">
        <v>0</v>
      </c>
      <c r="J16" s="42" t="s">
        <v>13</v>
      </c>
      <c r="K16" s="40" t="s">
        <v>16</v>
      </c>
      <c r="L16" s="40" t="s">
        <v>2</v>
      </c>
      <c r="M16" s="47" t="s">
        <v>130</v>
      </c>
      <c r="N16" s="42" t="s">
        <v>14</v>
      </c>
      <c r="O16" s="44" t="s">
        <v>115</v>
      </c>
      <c r="P16" s="44" t="s">
        <v>116</v>
      </c>
      <c r="Q16" s="44" t="s">
        <v>120</v>
      </c>
      <c r="R16" s="44" t="s">
        <v>143</v>
      </c>
      <c r="S16" s="46" t="s">
        <v>98</v>
      </c>
      <c r="T16" s="38" t="s">
        <v>4</v>
      </c>
    </row>
    <row r="17" spans="1:20" ht="15" customHeight="1" x14ac:dyDescent="0.25">
      <c r="A17" s="52"/>
      <c r="B17" s="52"/>
      <c r="C17" s="50"/>
      <c r="D17" s="41"/>
      <c r="E17" s="39"/>
      <c r="F17" s="43"/>
      <c r="G17" s="43"/>
      <c r="H17" s="43"/>
      <c r="I17" s="41"/>
      <c r="J17" s="43"/>
      <c r="K17" s="41"/>
      <c r="L17" s="41"/>
      <c r="M17" s="48"/>
      <c r="N17" s="41"/>
      <c r="O17" s="45"/>
      <c r="P17" s="45"/>
      <c r="Q17" s="49"/>
      <c r="R17" s="49"/>
      <c r="S17" s="45"/>
      <c r="T17" s="39"/>
    </row>
    <row r="18" spans="1:20" x14ac:dyDescent="0.25">
      <c r="D18" s="16"/>
      <c r="E18" s="2" t="s">
        <v>164</v>
      </c>
      <c r="F18" s="14" t="s">
        <v>32</v>
      </c>
      <c r="G18" s="5" t="s">
        <v>45</v>
      </c>
      <c r="H18" s="14" t="s">
        <v>42</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161</v>
      </c>
      <c r="N18" s="3">
        <v>0</v>
      </c>
      <c r="O18" s="3"/>
      <c r="P18" s="3"/>
      <c r="Q18" s="3" t="s">
        <v>121</v>
      </c>
      <c r="R18" s="3"/>
      <c r="T18" s="2" t="s">
        <v>162</v>
      </c>
    </row>
    <row r="19" spans="1:20" x14ac:dyDescent="0.25">
      <c r="D19" s="13"/>
      <c r="E19" s="11" t="s">
        <v>43</v>
      </c>
      <c r="F19" s="14" t="s">
        <v>32</v>
      </c>
      <c r="G19" s="5" t="s">
        <v>45</v>
      </c>
      <c r="H19" s="5" t="s">
        <v>48</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136</v>
      </c>
      <c r="N19" s="3">
        <v>1001</v>
      </c>
      <c r="O19" s="10">
        <v>1001</v>
      </c>
      <c r="P19" s="10">
        <v>5050</v>
      </c>
      <c r="R19" s="28"/>
      <c r="T19" s="2" t="s">
        <v>126</v>
      </c>
    </row>
    <row r="20" spans="1:20" x14ac:dyDescent="0.25">
      <c r="A20" s="32"/>
      <c r="D20" s="13"/>
      <c r="E20" t="s">
        <v>144</v>
      </c>
      <c r="F20" s="3" t="s">
        <v>32</v>
      </c>
      <c r="G20" s="3" t="s">
        <v>41</v>
      </c>
      <c r="H20" s="3" t="s">
        <v>42</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146</v>
      </c>
      <c r="N20" s="28"/>
      <c r="O20" s="28"/>
      <c r="P20" s="3"/>
      <c r="Q20" s="28"/>
      <c r="R20" s="28"/>
      <c r="S20" s="32"/>
      <c r="T20" s="2" t="s">
        <v>150</v>
      </c>
    </row>
    <row r="21" spans="1:20" x14ac:dyDescent="0.25">
      <c r="A21" s="32"/>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151</v>
      </c>
      <c r="M21" t="s">
        <v>152</v>
      </c>
      <c r="N21" s="28"/>
      <c r="Q21" s="3"/>
      <c r="R21" s="28"/>
      <c r="T21" s="2" t="s">
        <v>163</v>
      </c>
    </row>
    <row r="22" spans="1:20" x14ac:dyDescent="0.25">
      <c r="A22" s="32"/>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156</v>
      </c>
      <c r="M22" t="s">
        <v>157</v>
      </c>
      <c r="N22" s="28"/>
      <c r="O22" s="28"/>
      <c r="P22" s="28"/>
      <c r="Q22" s="28"/>
      <c r="R22" s="28"/>
      <c r="S22" s="32"/>
      <c r="T22" s="2" t="s">
        <v>158</v>
      </c>
    </row>
    <row r="23" spans="1:20" x14ac:dyDescent="0.25">
      <c r="A23" s="32"/>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166</v>
      </c>
      <c r="M23" t="s">
        <v>167</v>
      </c>
      <c r="N23" s="28"/>
      <c r="O23" s="28"/>
      <c r="P23" s="28"/>
      <c r="Q23" s="28"/>
      <c r="R23" s="28"/>
      <c r="S23" s="32"/>
      <c r="T23" s="2" t="s">
        <v>168</v>
      </c>
    </row>
    <row r="24" spans="1:20" s="32" customFormat="1" x14ac:dyDescent="0.25">
      <c r="D24" s="36"/>
      <c r="E24"/>
      <c r="F24" s="3" t="s">
        <v>32</v>
      </c>
      <c r="G24" s="3"/>
      <c r="H24" s="3"/>
      <c r="I24" s="14">
        <f t="shared" si="0"/>
        <v>12</v>
      </c>
      <c r="J24" s="3"/>
      <c r="K24" s="10">
        <f xml:space="preserve"> IFERROR("0x" &amp; DEC2HEX(VLOOKUP(F24,Common!$C$10:$D$34,2,FALSE),2) &amp; DEC2HEX(I24,3) &amp; DEC2HEX(VLOOKUP(G24,Common!$C$51:$D$55,2,FALSE),1) &amp; DEC2HEX(1+2*VLOOKUP(H24,Common!$C$69:$D$72,2,FALSE),1) &amp; DEC2HEX(IFERROR(LOG(J24,2),0),1),0)</f>
        <v>0</v>
      </c>
      <c r="L24" s="3" t="s">
        <v>186</v>
      </c>
      <c r="M24" t="s">
        <v>187</v>
      </c>
      <c r="N24" s="28"/>
      <c r="O24" s="28"/>
      <c r="P24" s="28"/>
      <c r="Q24" s="28"/>
      <c r="R24" s="28"/>
      <c r="T24" s="2" t="s">
        <v>188</v>
      </c>
    </row>
    <row r="25" spans="1:20" x14ac:dyDescent="0.25">
      <c r="A25" s="32"/>
      <c r="D25" s="14"/>
      <c r="E25" s="2"/>
      <c r="F25" s="3" t="s">
        <v>32</v>
      </c>
      <c r="G25" s="5"/>
      <c r="H25" s="18"/>
      <c r="I25" s="14">
        <f t="shared" si="0"/>
        <v>12</v>
      </c>
      <c r="J25" s="14"/>
      <c r="K25" s="10">
        <f xml:space="preserve"> IFERROR("0x" &amp; DEC2HEX(VLOOKUP(F25,Common!$C$10:$D$34,2,FALSE),2) &amp; DEC2HEX(I25,3) &amp; DEC2HEX(VLOOKUP(G25,Common!$C$51:$D$55,2,FALSE),1) &amp; DEC2HEX(1+2*VLOOKUP(H25,Common!$C$69:$D$72,2,FALSE),1) &amp; DEC2HEX(IFERROR(LOG(J25,2),0),1),0)</f>
        <v>0</v>
      </c>
      <c r="L25" s="3" t="s">
        <v>153</v>
      </c>
      <c r="M25" t="s">
        <v>154</v>
      </c>
      <c r="N25" s="28">
        <v>16</v>
      </c>
      <c r="O25" s="28"/>
      <c r="P25" s="28"/>
      <c r="Q25" s="28"/>
      <c r="R25" s="28"/>
      <c r="S25" s="32"/>
      <c r="T25" s="2" t="s">
        <v>155</v>
      </c>
    </row>
    <row r="26" spans="1:20" x14ac:dyDescent="0.25">
      <c r="A26" s="32"/>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173</v>
      </c>
      <c r="M26" t="s">
        <v>174</v>
      </c>
      <c r="N26" s="28"/>
      <c r="O26" s="28"/>
      <c r="P26" s="28"/>
      <c r="Q26" s="28"/>
      <c r="R26" s="28"/>
      <c r="S26" s="32"/>
      <c r="T26" s="2" t="s">
        <v>175</v>
      </c>
    </row>
    <row r="27" spans="1:20" s="13" customFormat="1" x14ac:dyDescent="0.25">
      <c r="A27" s="33"/>
      <c r="B27" s="12"/>
      <c r="C27" s="12"/>
      <c r="D27" s="14"/>
      <c r="E27" s="34" t="s">
        <v>159</v>
      </c>
      <c r="F27" s="5" t="s">
        <v>32</v>
      </c>
      <c r="G27" s="5" t="s">
        <v>45</v>
      </c>
      <c r="H27" s="5" t="s">
        <v>47</v>
      </c>
      <c r="I27" s="14">
        <f t="shared" si="0"/>
        <v>12</v>
      </c>
      <c r="J27" s="31">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5" t="s">
        <v>160</v>
      </c>
      <c r="N27" s="31"/>
      <c r="O27" s="31">
        <v>0</v>
      </c>
      <c r="P27" s="31">
        <v>9901</v>
      </c>
      <c r="Q27" s="31"/>
      <c r="R27" s="5"/>
      <c r="S27" s="31"/>
      <c r="T27" s="2" t="s">
        <v>172</v>
      </c>
    </row>
    <row r="28" spans="1:20" x14ac:dyDescent="0.25">
      <c r="A28" s="32"/>
      <c r="D28" s="14"/>
      <c r="E28" s="2" t="s">
        <v>140</v>
      </c>
      <c r="F28" s="3" t="s">
        <v>32</v>
      </c>
      <c r="G28" s="5" t="s">
        <v>45</v>
      </c>
      <c r="H28" s="18" t="s">
        <v>47</v>
      </c>
      <c r="I28" s="14">
        <f t="shared" si="0"/>
        <v>16</v>
      </c>
      <c r="J28" s="28">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141</v>
      </c>
      <c r="R28" s="28"/>
      <c r="T28" s="2" t="s">
        <v>170</v>
      </c>
    </row>
    <row r="29" spans="1:20" s="32" customFormat="1" x14ac:dyDescent="0.25">
      <c r="D29" s="36"/>
      <c r="E29" t="s">
        <v>189</v>
      </c>
      <c r="F29" s="3" t="s">
        <v>32</v>
      </c>
      <c r="G29" s="3" t="s">
        <v>45</v>
      </c>
      <c r="H29" s="3" t="s">
        <v>42</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8" t="str">
        <f>IF(AND(LEN(E29)&lt;&gt;0,S29=""),F29&amp;"_"&amp;UPPER(E29),"")</f>
        <v>SYS_IO_INPUT</v>
      </c>
      <c r="M29" t="s">
        <v>190</v>
      </c>
      <c r="N29" s="28"/>
      <c r="O29" s="28">
        <v>0</v>
      </c>
      <c r="P29" s="3" t="s">
        <v>191</v>
      </c>
      <c r="Q29" s="28"/>
      <c r="R29" s="28"/>
      <c r="T29" s="2" t="s">
        <v>192</v>
      </c>
    </row>
    <row r="30" spans="1:20" x14ac:dyDescent="0.25">
      <c r="A30" s="32"/>
      <c r="D30" s="14"/>
      <c r="E30" s="2"/>
      <c r="F30" s="3"/>
      <c r="G30" s="5"/>
      <c r="H30" s="18"/>
      <c r="I30" s="14"/>
      <c r="J30" s="28"/>
      <c r="K30" s="10"/>
      <c r="M30" s="2"/>
      <c r="Q30" s="28"/>
      <c r="R30" s="3"/>
      <c r="S30" s="28"/>
      <c r="T30" s="2"/>
    </row>
    <row r="31" spans="1:20" x14ac:dyDescent="0.25">
      <c r="A31" s="32"/>
      <c r="D31" s="14"/>
      <c r="E31" s="2"/>
      <c r="F31" s="3"/>
      <c r="G31" s="5"/>
      <c r="H31" s="18"/>
      <c r="I31" s="14"/>
      <c r="J31" s="28"/>
      <c r="K31" s="10"/>
      <c r="M31" s="2"/>
      <c r="Q31" s="28"/>
      <c r="R31" s="3"/>
      <c r="S31" s="28"/>
      <c r="T31" s="2"/>
    </row>
    <row r="32" spans="1:20" x14ac:dyDescent="0.25">
      <c r="D32" s="14"/>
      <c r="K32" s="10"/>
      <c r="R32" s="3"/>
      <c r="T32" s="2"/>
    </row>
    <row r="33" spans="1:23" x14ac:dyDescent="0.25">
      <c r="A33" s="32"/>
      <c r="D33" s="14"/>
      <c r="E33" s="11" t="s">
        <v>9</v>
      </c>
      <c r="F33" s="14" t="s">
        <v>30</v>
      </c>
      <c r="G33" s="5" t="s">
        <v>45</v>
      </c>
      <c r="H33" s="18" t="s">
        <v>42</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131</v>
      </c>
      <c r="N33" s="3"/>
      <c r="R33" s="28"/>
      <c r="T33" s="2" t="s">
        <v>122</v>
      </c>
    </row>
    <row r="34" spans="1:23" x14ac:dyDescent="0.25">
      <c r="A34" s="32"/>
      <c r="D34" s="14"/>
      <c r="E34" s="11" t="s">
        <v>22</v>
      </c>
      <c r="F34" s="14" t="s">
        <v>30</v>
      </c>
      <c r="G34" s="5" t="s">
        <v>45</v>
      </c>
      <c r="H34" s="18" t="s">
        <v>42</v>
      </c>
      <c r="I34" s="14">
        <f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132</v>
      </c>
      <c r="N34" s="3"/>
      <c r="O34" s="10">
        <v>9153</v>
      </c>
      <c r="P34" s="10">
        <v>9153</v>
      </c>
      <c r="R34" s="28"/>
      <c r="T34" s="2" t="s">
        <v>171</v>
      </c>
    </row>
    <row r="35" spans="1:23" x14ac:dyDescent="0.25">
      <c r="A35" s="32"/>
      <c r="D35" s="14"/>
      <c r="E35" s="11" t="s">
        <v>15</v>
      </c>
      <c r="F35" s="14" t="s">
        <v>30</v>
      </c>
      <c r="G35" s="5" t="s">
        <v>45</v>
      </c>
      <c r="H35" s="18" t="s">
        <v>42</v>
      </c>
      <c r="I35" s="14">
        <f t="shared" ref="I35:I36" si="1" xml:space="preserve"> I34+J34</f>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133</v>
      </c>
      <c r="N35" s="3"/>
      <c r="O35" s="3">
        <v>1001</v>
      </c>
      <c r="P35" s="3">
        <v>5099</v>
      </c>
      <c r="R35" s="28"/>
      <c r="T35" s="2" t="s">
        <v>165</v>
      </c>
    </row>
    <row r="36" spans="1:23" x14ac:dyDescent="0.25">
      <c r="A36" s="32"/>
      <c r="D36" s="14"/>
      <c r="E36" s="11" t="s">
        <v>34</v>
      </c>
      <c r="F36" s="14" t="s">
        <v>30</v>
      </c>
      <c r="G36" s="5" t="s">
        <v>45</v>
      </c>
      <c r="H36" s="18" t="s">
        <v>42</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134</v>
      </c>
      <c r="O36" s="3">
        <v>1001</v>
      </c>
      <c r="P36" s="3">
        <v>5099</v>
      </c>
      <c r="R36" s="28"/>
      <c r="T36" s="2" t="s">
        <v>123</v>
      </c>
    </row>
    <row r="37" spans="1:23" x14ac:dyDescent="0.25">
      <c r="D37" s="14"/>
      <c r="E37" s="11"/>
      <c r="F37" s="14"/>
      <c r="G37" s="5"/>
      <c r="H37" s="18"/>
      <c r="I37" s="14"/>
      <c r="J37" s="14"/>
      <c r="K37" s="10"/>
      <c r="M37"/>
      <c r="O37" s="3"/>
      <c r="P37" s="3"/>
      <c r="R37" s="28"/>
      <c r="T37" s="2"/>
    </row>
    <row r="38" spans="1:23" ht="15" customHeight="1" x14ac:dyDescent="0.25">
      <c r="A38" s="32"/>
      <c r="D38" s="15"/>
      <c r="E38" s="11" t="s">
        <v>35</v>
      </c>
      <c r="F38" s="10" t="s">
        <v>31</v>
      </c>
      <c r="G38" s="5" t="s">
        <v>45</v>
      </c>
      <c r="H38" s="18" t="s">
        <v>42</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169</v>
      </c>
      <c r="O38" s="28">
        <v>1</v>
      </c>
      <c r="P38" s="10">
        <v>999</v>
      </c>
      <c r="R38" s="28"/>
      <c r="T38" s="2" t="s">
        <v>124</v>
      </c>
    </row>
    <row r="39" spans="1:23" x14ac:dyDescent="0.25">
      <c r="A39" s="32"/>
      <c r="D39" s="15"/>
      <c r="E39" s="11" t="s">
        <v>12</v>
      </c>
      <c r="F39" s="10" t="s">
        <v>31</v>
      </c>
      <c r="G39" s="5" t="s">
        <v>45</v>
      </c>
      <c r="H39" s="18" t="s">
        <v>42</v>
      </c>
      <c r="I39" s="14">
        <f xml:space="preserve"> I38+J38</f>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135</v>
      </c>
      <c r="O39" s="28">
        <v>20231100</v>
      </c>
      <c r="P39" s="28">
        <v>20250330</v>
      </c>
      <c r="R39" s="28"/>
      <c r="T39" s="2" t="s">
        <v>125</v>
      </c>
    </row>
    <row r="40" spans="1:23" x14ac:dyDescent="0.25">
      <c r="A40" s="32"/>
      <c r="D40" s="15"/>
      <c r="E40" s="11"/>
      <c r="G40" s="5"/>
      <c r="H40" s="18"/>
      <c r="I40" s="14"/>
      <c r="K40" s="10"/>
      <c r="M40"/>
      <c r="R40" s="28"/>
      <c r="T40" s="2"/>
    </row>
    <row r="41" spans="1:23" x14ac:dyDescent="0.25">
      <c r="A41" s="32"/>
      <c r="D41" s="15"/>
      <c r="E41" s="11"/>
      <c r="G41" s="5"/>
      <c r="H41" s="18"/>
      <c r="I41" s="14"/>
      <c r="K41" s="10"/>
      <c r="M41"/>
      <c r="R41" s="28"/>
      <c r="T41" s="2"/>
    </row>
    <row r="42" spans="1:23" x14ac:dyDescent="0.25">
      <c r="D42" s="15"/>
      <c r="E42" s="2"/>
      <c r="F42" s="5"/>
      <c r="G42" s="5"/>
      <c r="H42" s="18"/>
      <c r="I42" s="14"/>
      <c r="J42" s="14"/>
      <c r="K42" s="10"/>
      <c r="L42" s="3"/>
      <c r="M42"/>
      <c r="R42" s="28"/>
      <c r="T42" s="2"/>
    </row>
    <row r="43" spans="1:23" s="32" customFormat="1" x14ac:dyDescent="0.25">
      <c r="B43" s="12"/>
      <c r="C43" s="12"/>
      <c r="D43"/>
      <c r="E43"/>
      <c r="F43" s="3"/>
      <c r="G43" s="3"/>
      <c r="H43" s="3"/>
      <c r="I43" s="31"/>
      <c r="J43" s="28"/>
      <c r="K43" s="10"/>
      <c r="L43" s="28"/>
      <c r="M43" s="21"/>
      <c r="N43" s="28"/>
      <c r="O43" s="3"/>
      <c r="P43" s="3"/>
      <c r="Q43" s="3"/>
      <c r="R43" s="3"/>
      <c r="S43"/>
      <c r="T43" s="2"/>
      <c r="U43"/>
      <c r="V43"/>
      <c r="W43"/>
    </row>
    <row r="44" spans="1:23" s="32" customFormat="1" x14ac:dyDescent="0.25">
      <c r="D44" s="36"/>
      <c r="E44" s="2" t="s">
        <v>193</v>
      </c>
      <c r="F44" s="5" t="s">
        <v>179</v>
      </c>
      <c r="G44" s="3" t="s">
        <v>111</v>
      </c>
      <c r="H44" s="18" t="s">
        <v>44</v>
      </c>
      <c r="I44" s="31">
        <v>0</v>
      </c>
      <c r="J44" s="28">
        <v>1</v>
      </c>
      <c r="K44" s="10" t="str">
        <f xml:space="preserve"> IFERROR("0x" &amp; DEC2HEX(VLOOKUP(F44,Common!$C$10:$D$34,2,FALSE),2) &amp; DEC2HEX(I44,3) &amp; DEC2HEX(VLOOKUP(G44,Common!$C$51:$D$55,2,FALSE),1) &amp; DEC2HEX(1+2*VLOOKUP(H44,Common!$C$69:$D$72,2,FALSE),1) &amp; DEC2HEX(IFERROR(LOG(J44,2),0),1),0)</f>
        <v>0x03000570</v>
      </c>
      <c r="L44" s="28" t="str">
        <f t="shared" ref="L44" si="2">IF(AND(LEN(E44)&lt;&gt;0,S44=""),F44&amp;"_"&amp;UPPER(E44),"")</f>
        <v>COM_MB_BAUD_RATE</v>
      </c>
      <c r="M44" t="s">
        <v>194</v>
      </c>
      <c r="N44" s="28">
        <v>1</v>
      </c>
      <c r="O44" s="28">
        <v>0</v>
      </c>
      <c r="P44" s="28">
        <v>4</v>
      </c>
      <c r="Q44" s="28"/>
      <c r="R44" s="28"/>
      <c r="S44" s="28"/>
      <c r="T44" s="2" t="s">
        <v>195</v>
      </c>
    </row>
    <row r="45" spans="1:23" s="32" customFormat="1" x14ac:dyDescent="0.25">
      <c r="D45" s="36"/>
      <c r="F45" s="5" t="s">
        <v>179</v>
      </c>
      <c r="G45" s="28"/>
      <c r="H45" s="28"/>
      <c r="I45" s="31">
        <f xml:space="preserve"> I44+J44</f>
        <v>1</v>
      </c>
      <c r="J45" s="28"/>
      <c r="K45" s="10">
        <f xml:space="preserve"> IFERROR("0x" &amp; DEC2HEX(VLOOKUP(F45,Common!$C$10:$D$34,2,FALSE),2) &amp; DEC2HEX(I45,3) &amp; DEC2HEX(VLOOKUP(G45,Common!$C$51:$D$55,2,FALSE),1) &amp; DEC2HEX(1+2*VLOOKUP(H45,Common!$C$69:$D$72,2,FALSE),1) &amp; DEC2HEX(IFERROR(LOG(J45,2),0),1),0)</f>
        <v>0</v>
      </c>
      <c r="L45" s="3" t="s">
        <v>196</v>
      </c>
      <c r="M45" s="37">
        <v>9600</v>
      </c>
      <c r="N45" s="28"/>
      <c r="O45" s="28"/>
      <c r="P45" s="28"/>
      <c r="Q45" s="28"/>
      <c r="R45" s="28"/>
      <c r="S45" s="28"/>
      <c r="T45" s="2" t="s">
        <v>197</v>
      </c>
    </row>
    <row r="46" spans="1:23" s="32" customFormat="1" x14ac:dyDescent="0.25">
      <c r="D46" s="36"/>
      <c r="F46" s="5" t="s">
        <v>179</v>
      </c>
      <c r="G46" s="28"/>
      <c r="H46" s="28"/>
      <c r="I46" s="31">
        <f t="shared" ref="I46:I60" si="3" xml:space="preserve"> I45+J45</f>
        <v>1</v>
      </c>
      <c r="J46" s="28"/>
      <c r="K46" s="10">
        <f xml:space="preserve"> IFERROR("0x" &amp; DEC2HEX(VLOOKUP(F46,Common!$C$10:$D$34,2,FALSE),2) &amp; DEC2HEX(I46,3) &amp; DEC2HEX(VLOOKUP(G46,Common!$C$51:$D$55,2,FALSE),1) &amp; DEC2HEX(1+2*VLOOKUP(H46,Common!$C$69:$D$72,2,FALSE),1) &amp; DEC2HEX(IFERROR(LOG(J46,2),0),1),0)</f>
        <v>0</v>
      </c>
      <c r="L46" s="3" t="s">
        <v>198</v>
      </c>
      <c r="M46" s="37">
        <v>19200</v>
      </c>
      <c r="N46" s="28"/>
      <c r="O46" s="28"/>
      <c r="P46" s="28"/>
      <c r="Q46" s="28"/>
      <c r="R46" s="28"/>
      <c r="S46" s="28"/>
      <c r="T46" s="2" t="s">
        <v>199</v>
      </c>
    </row>
    <row r="47" spans="1:23" s="32" customFormat="1" x14ac:dyDescent="0.25">
      <c r="D47" s="36"/>
      <c r="F47" s="5" t="s">
        <v>179</v>
      </c>
      <c r="G47" s="28"/>
      <c r="H47" s="28"/>
      <c r="I47" s="31">
        <f t="shared" si="3"/>
        <v>1</v>
      </c>
      <c r="J47" s="28"/>
      <c r="K47" s="10">
        <f xml:space="preserve"> IFERROR("0x" &amp; DEC2HEX(VLOOKUP(F47,Common!$C$10:$D$34,2,FALSE),2) &amp; DEC2HEX(I47,3) &amp; DEC2HEX(VLOOKUP(G47,Common!$C$51:$D$55,2,FALSE),1) &amp; DEC2HEX(1+2*VLOOKUP(H47,Common!$C$69:$D$72,2,FALSE),1) &amp; DEC2HEX(IFERROR(LOG(J47,2),0),1),0)</f>
        <v>0</v>
      </c>
      <c r="L47" s="3" t="s">
        <v>200</v>
      </c>
      <c r="M47" s="37">
        <v>38400</v>
      </c>
      <c r="N47" s="28"/>
      <c r="O47" s="28"/>
      <c r="P47" s="28"/>
      <c r="Q47" s="28"/>
      <c r="R47" s="28"/>
      <c r="S47" s="28"/>
      <c r="T47" s="2" t="s">
        <v>201</v>
      </c>
    </row>
    <row r="48" spans="1:23" s="32" customFormat="1" x14ac:dyDescent="0.25">
      <c r="D48" s="36"/>
      <c r="F48" s="5" t="s">
        <v>179</v>
      </c>
      <c r="G48" s="28"/>
      <c r="H48" s="28"/>
      <c r="I48" s="31">
        <f t="shared" si="3"/>
        <v>1</v>
      </c>
      <c r="J48" s="28"/>
      <c r="K48" s="10">
        <f xml:space="preserve"> IFERROR("0x" &amp; DEC2HEX(VLOOKUP(F48,Common!$C$10:$D$34,2,FALSE),2) &amp; DEC2HEX(I48,3) &amp; DEC2HEX(VLOOKUP(G48,Common!$C$51:$D$55,2,FALSE),1) &amp; DEC2HEX(1+2*VLOOKUP(H48,Common!$C$69:$D$72,2,FALSE),1) &amp; DEC2HEX(IFERROR(LOG(J48,2),0),1),0)</f>
        <v>0</v>
      </c>
      <c r="L48" s="3" t="s">
        <v>202</v>
      </c>
      <c r="M48" s="37">
        <v>57600</v>
      </c>
      <c r="N48" s="28"/>
      <c r="O48" s="28"/>
      <c r="P48" s="28"/>
      <c r="Q48" s="28"/>
      <c r="R48" s="28"/>
      <c r="S48" s="28"/>
      <c r="T48" s="2" t="s">
        <v>203</v>
      </c>
    </row>
    <row r="49" spans="4:26" s="32" customFormat="1" x14ac:dyDescent="0.25">
      <c r="D49" s="36"/>
      <c r="F49" s="5" t="s">
        <v>179</v>
      </c>
      <c r="G49" s="28"/>
      <c r="H49" s="28"/>
      <c r="I49" s="31">
        <f t="shared" si="3"/>
        <v>1</v>
      </c>
      <c r="J49" s="28"/>
      <c r="K49" s="10">
        <f xml:space="preserve"> IFERROR("0x" &amp; DEC2HEX(VLOOKUP(F49,Common!$C$10:$D$34,2,FALSE),2) &amp; DEC2HEX(I49,3) &amp; DEC2HEX(VLOOKUP(G49,Common!$C$51:$D$55,2,FALSE),1) &amp; DEC2HEX(1+2*VLOOKUP(H49,Common!$C$69:$D$72,2,FALSE),1) &amp; DEC2HEX(IFERROR(LOG(J49,2),0),1),0)</f>
        <v>0</v>
      </c>
      <c r="L49" s="3" t="s">
        <v>204</v>
      </c>
      <c r="M49" s="37">
        <v>115200</v>
      </c>
      <c r="N49" s="28"/>
      <c r="O49" s="28"/>
      <c r="P49" s="28"/>
      <c r="Q49" s="28"/>
      <c r="R49" s="28"/>
      <c r="S49" s="28"/>
      <c r="T49" s="2" t="s">
        <v>205</v>
      </c>
    </row>
    <row r="50" spans="4:26" s="32" customFormat="1" x14ac:dyDescent="0.25">
      <c r="D50" s="36"/>
      <c r="E50" t="s">
        <v>206</v>
      </c>
      <c r="F50" s="5" t="s">
        <v>179</v>
      </c>
      <c r="G50" s="3" t="s">
        <v>111</v>
      </c>
      <c r="H50" s="3" t="s">
        <v>44</v>
      </c>
      <c r="I50" s="31">
        <f t="shared" si="3"/>
        <v>1</v>
      </c>
      <c r="J50" s="28">
        <v>1</v>
      </c>
      <c r="K50" s="10" t="str">
        <f xml:space="preserve"> IFERROR("0x" &amp; DEC2HEX(VLOOKUP(F50,Common!$C$10:$D$34,2,FALSE),2) &amp; DEC2HEX(I50,3) &amp; DEC2HEX(VLOOKUP(G50,Common!$C$51:$D$55,2,FALSE),1) &amp; DEC2HEX(1+2*VLOOKUP(H50,Common!$C$69:$D$72,2,FALSE),1) &amp; DEC2HEX(IFERROR(LOG(J50,2),0),1),0)</f>
        <v>0x03001570</v>
      </c>
      <c r="L50" s="28" t="str">
        <f t="shared" ref="L50" si="4">IF(AND(LEN(E50)&lt;&gt;0,S50=""),F50&amp;"_"&amp;UPPER(E50),"")</f>
        <v>COM_MB_PARITY</v>
      </c>
      <c r="M50" s="37" t="s">
        <v>207</v>
      </c>
      <c r="N50" s="28">
        <v>1</v>
      </c>
      <c r="O50" s="28">
        <v>0</v>
      </c>
      <c r="P50" s="28">
        <v>2</v>
      </c>
      <c r="Q50" s="28"/>
      <c r="R50" s="28"/>
      <c r="S50" s="28"/>
      <c r="T50" s="2" t="s">
        <v>208</v>
      </c>
    </row>
    <row r="51" spans="4:26" s="32" customFormat="1" x14ac:dyDescent="0.25">
      <c r="D51" s="36"/>
      <c r="F51" s="5" t="s">
        <v>179</v>
      </c>
      <c r="G51" s="28"/>
      <c r="H51" s="28"/>
      <c r="I51" s="31">
        <f t="shared" si="3"/>
        <v>2</v>
      </c>
      <c r="J51" s="28"/>
      <c r="K51" s="10">
        <f xml:space="preserve"> IFERROR("0x" &amp; DEC2HEX(VLOOKUP(F51,Common!$C$10:$D$34,2,FALSE),2) &amp; DEC2HEX(I51,3) &amp; DEC2HEX(VLOOKUP(G51,Common!$C$51:$D$55,2,FALSE),1) &amp; DEC2HEX(1+2*VLOOKUP(H51,Common!$C$69:$D$72,2,FALSE),1) &amp; DEC2HEX(IFERROR(LOG(J51,2),0),1),0)</f>
        <v>0</v>
      </c>
      <c r="L51" s="3" t="s">
        <v>209</v>
      </c>
      <c r="M51" s="37" t="s">
        <v>210</v>
      </c>
      <c r="N51" s="28"/>
      <c r="O51" s="28"/>
      <c r="P51" s="28"/>
      <c r="Q51" s="28"/>
      <c r="R51" s="28"/>
      <c r="S51" s="28"/>
      <c r="T51" s="2" t="s">
        <v>211</v>
      </c>
    </row>
    <row r="52" spans="4:26" s="32" customFormat="1" x14ac:dyDescent="0.25">
      <c r="D52" s="36"/>
      <c r="F52" s="5" t="s">
        <v>179</v>
      </c>
      <c r="G52" s="28"/>
      <c r="H52" s="28"/>
      <c r="I52" s="31">
        <f t="shared" si="3"/>
        <v>2</v>
      </c>
      <c r="J52" s="28"/>
      <c r="K52" s="10">
        <f xml:space="preserve"> IFERROR("0x" &amp; DEC2HEX(VLOOKUP(F52,Common!$C$10:$D$34,2,FALSE),2) &amp; DEC2HEX(I52,3) &amp; DEC2HEX(VLOOKUP(G52,Common!$C$51:$D$55,2,FALSE),1) &amp; DEC2HEX(1+2*VLOOKUP(H52,Common!$C$69:$D$72,2,FALSE),1) &amp; DEC2HEX(IFERROR(LOG(J52,2),0),1),0)</f>
        <v>0</v>
      </c>
      <c r="L52" s="3" t="s">
        <v>212</v>
      </c>
      <c r="M52" t="s">
        <v>213</v>
      </c>
      <c r="N52" s="28"/>
      <c r="O52" s="28"/>
      <c r="P52" s="28"/>
      <c r="Q52" s="28"/>
      <c r="R52" s="28"/>
      <c r="S52" s="28"/>
      <c r="T52" s="2" t="s">
        <v>214</v>
      </c>
    </row>
    <row r="53" spans="4:26" s="32" customFormat="1" x14ac:dyDescent="0.25">
      <c r="D53" s="36"/>
      <c r="F53" s="5" t="s">
        <v>179</v>
      </c>
      <c r="G53" s="28"/>
      <c r="H53" s="28"/>
      <c r="I53" s="31">
        <f t="shared" si="3"/>
        <v>2</v>
      </c>
      <c r="J53" s="28"/>
      <c r="K53" s="10">
        <f xml:space="preserve"> IFERROR("0x" &amp; DEC2HEX(VLOOKUP(F53,Common!$C$10:$D$34,2,FALSE),2) &amp; DEC2HEX(I53,3) &amp; DEC2HEX(VLOOKUP(G53,Common!$C$51:$D$55,2,FALSE),1) &amp; DEC2HEX(1+2*VLOOKUP(H53,Common!$C$69:$D$72,2,FALSE),1) &amp; DEC2HEX(IFERROR(LOG(J53,2),0),1),0)</f>
        <v>0</v>
      </c>
      <c r="L53" s="3" t="s">
        <v>215</v>
      </c>
      <c r="M53" t="s">
        <v>216</v>
      </c>
      <c r="N53" s="28"/>
      <c r="O53" s="28"/>
      <c r="P53" s="28"/>
      <c r="Q53" s="28"/>
      <c r="R53" s="28"/>
      <c r="S53" s="28"/>
      <c r="T53" s="2" t="s">
        <v>217</v>
      </c>
    </row>
    <row r="54" spans="4:26" s="32" customFormat="1" x14ac:dyDescent="0.25">
      <c r="D54" s="36"/>
      <c r="E54" t="s">
        <v>218</v>
      </c>
      <c r="F54" s="5" t="s">
        <v>179</v>
      </c>
      <c r="G54" s="3" t="s">
        <v>111</v>
      </c>
      <c r="H54" s="3" t="s">
        <v>44</v>
      </c>
      <c r="I54" s="31">
        <f t="shared" si="3"/>
        <v>2</v>
      </c>
      <c r="J54" s="28">
        <v>1</v>
      </c>
      <c r="K54" s="10" t="str">
        <f xml:space="preserve"> IFERROR("0x" &amp; DEC2HEX(VLOOKUP(F54,Common!$C$10:$D$34,2,FALSE),2) &amp; DEC2HEX(I54,3) &amp; DEC2HEX(VLOOKUP(G54,Common!$C$51:$D$55,2,FALSE),1) &amp; DEC2HEX(1+2*VLOOKUP(H54,Common!$C$69:$D$72,2,FALSE),1) &amp; DEC2HEX(IFERROR(LOG(J54,2),0),1),0)</f>
        <v>0x03002570</v>
      </c>
      <c r="L54" s="28" t="str">
        <f t="shared" ref="L54" si="5">IF(AND(LEN(E54)&lt;&gt;0,S54=""),F54&amp;"_"&amp;UPPER(E54),"")</f>
        <v>COM_MB_STOP_BITS</v>
      </c>
      <c r="M54" t="s">
        <v>219</v>
      </c>
      <c r="N54" s="28">
        <v>0</v>
      </c>
      <c r="O54" s="28">
        <v>0</v>
      </c>
      <c r="P54" s="28">
        <v>1</v>
      </c>
      <c r="Q54" s="28"/>
      <c r="R54" s="28"/>
      <c r="S54" s="28"/>
      <c r="T54" s="2" t="s">
        <v>220</v>
      </c>
    </row>
    <row r="55" spans="4:26" s="32" customFormat="1" x14ac:dyDescent="0.25">
      <c r="D55" s="36"/>
      <c r="F55" s="5" t="s">
        <v>179</v>
      </c>
      <c r="G55" s="28"/>
      <c r="H55" s="28"/>
      <c r="I55" s="31">
        <f t="shared" si="3"/>
        <v>3</v>
      </c>
      <c r="J55" s="28"/>
      <c r="K55" s="10">
        <f xml:space="preserve"> IFERROR("0x" &amp; DEC2HEX(VLOOKUP(F55,Common!$C$10:$D$34,2,FALSE),2) &amp; DEC2HEX(I55,3) &amp; DEC2HEX(VLOOKUP(G55,Common!$C$51:$D$55,2,FALSE),1) &amp; DEC2HEX(1+2*VLOOKUP(H55,Common!$C$69:$D$72,2,FALSE),1) &amp; DEC2HEX(IFERROR(LOG(J55,2),0),1),0)</f>
        <v>0</v>
      </c>
      <c r="L55" s="3" t="s">
        <v>221</v>
      </c>
      <c r="M55" t="s">
        <v>222</v>
      </c>
      <c r="N55" s="28"/>
      <c r="O55" s="28"/>
      <c r="P55" s="28"/>
      <c r="Q55" s="28"/>
      <c r="R55" s="28"/>
      <c r="S55" s="28"/>
      <c r="T55" s="2" t="s">
        <v>222</v>
      </c>
    </row>
    <row r="56" spans="4:26" s="32" customFormat="1" x14ac:dyDescent="0.25">
      <c r="D56" s="36"/>
      <c r="F56" s="5" t="s">
        <v>179</v>
      </c>
      <c r="G56" s="28"/>
      <c r="H56" s="28"/>
      <c r="I56" s="31">
        <f t="shared" si="3"/>
        <v>3</v>
      </c>
      <c r="J56" s="28"/>
      <c r="K56" s="10">
        <f xml:space="preserve"> IFERROR("0x" &amp; DEC2HEX(VLOOKUP(F56,Common!$C$10:$D$34,2,FALSE),2) &amp; DEC2HEX(I56,3) &amp; DEC2HEX(VLOOKUP(G56,Common!$C$51:$D$55,2,FALSE),1) &amp; DEC2HEX(1+2*VLOOKUP(H56,Common!$C$69:$D$72,2,FALSE),1) &amp; DEC2HEX(IFERROR(LOG(J56,2),0),1),0)</f>
        <v>0</v>
      </c>
      <c r="L56" s="3" t="s">
        <v>223</v>
      </c>
      <c r="M56" t="s">
        <v>224</v>
      </c>
      <c r="N56" s="28"/>
      <c r="O56" s="28"/>
      <c r="P56" s="28"/>
      <c r="Q56" s="28"/>
      <c r="R56" s="28"/>
      <c r="S56" s="28"/>
      <c r="T56" s="2" t="s">
        <v>224</v>
      </c>
    </row>
    <row r="57" spans="4:26" s="32" customFormat="1" x14ac:dyDescent="0.25">
      <c r="D57" s="36"/>
      <c r="E57" t="s">
        <v>225</v>
      </c>
      <c r="F57" s="5" t="s">
        <v>179</v>
      </c>
      <c r="G57" s="3" t="s">
        <v>45</v>
      </c>
      <c r="H57" s="3" t="s">
        <v>47</v>
      </c>
      <c r="I57" s="31">
        <f t="shared" si="3"/>
        <v>3</v>
      </c>
      <c r="J57" s="28">
        <v>1</v>
      </c>
      <c r="K57" s="10" t="str">
        <f xml:space="preserve"> IFERROR("0x" &amp; DEC2HEX(VLOOKUP(F57,Common!$C$10:$D$34,2,FALSE),2) &amp; DEC2HEX(I57,3) &amp; DEC2HEX(VLOOKUP(G57,Common!$C$51:$D$55,2,FALSE),1) &amp; DEC2HEX(1+2*VLOOKUP(H57,Common!$C$69:$D$72,2,FALSE),1) &amp; DEC2HEX(IFERROR(LOG(J57,2),0),1),0)</f>
        <v>0x03003150</v>
      </c>
      <c r="L57" s="28" t="str">
        <f t="shared" ref="L57:L60" si="6">IF(AND(LEN(E57)&lt;&gt;0,S57=""),F57&amp;"_"&amp;UPPER(E57),"")</f>
        <v>COM_RESERVED</v>
      </c>
      <c r="M57"/>
      <c r="N57" s="28"/>
      <c r="O57" s="28"/>
      <c r="P57" s="28"/>
      <c r="Q57" s="28"/>
      <c r="R57" s="3" t="s">
        <v>226</v>
      </c>
      <c r="S57" s="28"/>
      <c r="T57" s="2"/>
    </row>
    <row r="58" spans="4:26" s="32" customFormat="1" x14ac:dyDescent="0.25">
      <c r="D58" s="36"/>
      <c r="E58" t="s">
        <v>227</v>
      </c>
      <c r="F58" s="5" t="s">
        <v>179</v>
      </c>
      <c r="G58" s="3" t="s">
        <v>45</v>
      </c>
      <c r="H58" s="3" t="s">
        <v>42</v>
      </c>
      <c r="I58" s="31">
        <f t="shared" si="3"/>
        <v>4</v>
      </c>
      <c r="J58" s="28">
        <v>2</v>
      </c>
      <c r="K58" s="10" t="str">
        <f xml:space="preserve"> IFERROR("0x" &amp; DEC2HEX(VLOOKUP(F58,Common!$C$10:$D$34,2,FALSE),2) &amp; DEC2HEX(I58,3) &amp; DEC2HEX(VLOOKUP(G58,Common!$C$51:$D$55,2,FALSE),1) &amp; DEC2HEX(1+2*VLOOKUP(H58,Common!$C$69:$D$72,2,FALSE),1) &amp; DEC2HEX(IFERROR(LOG(J58,2),0),1),0)</f>
        <v>0x03004111</v>
      </c>
      <c r="L58" s="28" t="str">
        <f t="shared" si="6"/>
        <v>COM_MB_ADDRESS</v>
      </c>
      <c r="M58" t="s">
        <v>228</v>
      </c>
      <c r="N58" s="28">
        <v>32</v>
      </c>
      <c r="O58" s="28">
        <v>32</v>
      </c>
      <c r="P58" s="28">
        <v>63</v>
      </c>
      <c r="Q58" s="28"/>
      <c r="R58" s="28" t="s">
        <v>226</v>
      </c>
      <c r="S58" s="28"/>
      <c r="T58" s="2" t="s">
        <v>229</v>
      </c>
    </row>
    <row r="59" spans="4:26" s="32" customFormat="1" x14ac:dyDescent="0.25">
      <c r="D59" s="36"/>
      <c r="E59" t="s">
        <v>230</v>
      </c>
      <c r="F59" s="3" t="s">
        <v>179</v>
      </c>
      <c r="G59" s="3" t="s">
        <v>45</v>
      </c>
      <c r="H59" s="3" t="s">
        <v>47</v>
      </c>
      <c r="I59" s="31">
        <f t="shared" si="3"/>
        <v>6</v>
      </c>
      <c r="J59" s="28">
        <v>2</v>
      </c>
      <c r="K59" s="10" t="str">
        <f xml:space="preserve"> IFERROR("0x" &amp; DEC2HEX(VLOOKUP(F59,Common!$C$10:$D$34,2,FALSE),2) &amp; DEC2HEX(I59,3) &amp; DEC2HEX(VLOOKUP(G59,Common!$C$51:$D$55,2,FALSE),1) &amp; DEC2HEX(1+2*VLOOKUP(H59,Common!$C$69:$D$72,2,FALSE),1) &amp; DEC2HEX(IFERROR(LOG(J59,2),0),1),0)</f>
        <v>0x03006151</v>
      </c>
      <c r="L59" s="28" t="str">
        <f t="shared" si="6"/>
        <v>COM_MB_APPLY</v>
      </c>
      <c r="M59" t="s">
        <v>231</v>
      </c>
      <c r="N59" s="28"/>
      <c r="O59" s="28">
        <v>0</v>
      </c>
      <c r="P59" s="28">
        <v>1</v>
      </c>
      <c r="Q59" s="28"/>
      <c r="R59" s="28"/>
      <c r="S59" s="28"/>
      <c r="T59" s="2" t="s">
        <v>232</v>
      </c>
    </row>
    <row r="60" spans="4:26" s="32" customFormat="1" x14ac:dyDescent="0.25">
      <c r="D60" s="36"/>
      <c r="E60" t="s">
        <v>233</v>
      </c>
      <c r="F60" s="3" t="s">
        <v>179</v>
      </c>
      <c r="G60" s="3" t="s">
        <v>45</v>
      </c>
      <c r="H60" s="3" t="s">
        <v>44</v>
      </c>
      <c r="I60" s="31">
        <f t="shared" si="3"/>
        <v>8</v>
      </c>
      <c r="J60" s="28">
        <v>2</v>
      </c>
      <c r="K60" s="10" t="str">
        <f xml:space="preserve"> IFERROR("0x" &amp; DEC2HEX(VLOOKUP(F60,Common!$C$10:$D$34,2,FALSE),2) &amp; DEC2HEX(I60,3) &amp; DEC2HEX(VLOOKUP(G60,Common!$C$51:$D$55,2,FALSE),1) &amp; DEC2HEX(1+2*VLOOKUP(H60,Common!$C$69:$D$72,2,FALSE),1) &amp; DEC2HEX(IFERROR(LOG(J60,2),0),1),0)</f>
        <v>0x03008171</v>
      </c>
      <c r="L60" s="28" t="str">
        <f t="shared" si="6"/>
        <v>COM_MB_TIMEOUT</v>
      </c>
      <c r="M60" t="s">
        <v>187</v>
      </c>
      <c r="N60" s="28">
        <v>10</v>
      </c>
      <c r="O60" s="28">
        <v>0</v>
      </c>
      <c r="P60" s="28">
        <v>7200</v>
      </c>
      <c r="Q60" s="3" t="s">
        <v>121</v>
      </c>
      <c r="R60" s="28"/>
      <c r="S60" s="28"/>
      <c r="T60" s="2" t="s">
        <v>234</v>
      </c>
    </row>
    <row r="61" spans="4:26" s="32" customFormat="1" x14ac:dyDescent="0.25">
      <c r="D61" s="36"/>
      <c r="F61" s="28"/>
      <c r="I61" s="31"/>
      <c r="K61" s="10"/>
      <c r="N61" s="28"/>
      <c r="O61" s="28"/>
      <c r="P61" s="28"/>
      <c r="Q61" s="28"/>
      <c r="R61" s="28"/>
      <c r="T61" s="2"/>
    </row>
    <row r="62" spans="4:26" x14ac:dyDescent="0.25">
      <c r="E62"/>
      <c r="F62" s="3"/>
      <c r="G62" s="3"/>
      <c r="H62" s="3"/>
      <c r="I62" s="31"/>
      <c r="K62" s="10"/>
      <c r="L62" s="3"/>
      <c r="M62"/>
      <c r="N62" s="3"/>
      <c r="Q62" s="3"/>
      <c r="T62" s="2"/>
      <c r="Z62" s="32"/>
    </row>
    <row r="63" spans="4:26" s="32" customFormat="1" x14ac:dyDescent="0.25">
      <c r="D63" s="36"/>
      <c r="I63" s="31"/>
      <c r="K63" s="10"/>
      <c r="T63" s="2"/>
    </row>
    <row r="64" spans="4:26" s="32" customFormat="1" x14ac:dyDescent="0.25">
      <c r="D64" s="36"/>
      <c r="I64" s="31"/>
      <c r="K64" s="10"/>
      <c r="T64" s="2"/>
    </row>
    <row r="65" spans="1:35" s="32" customFormat="1" x14ac:dyDescent="0.25">
      <c r="D65" s="36"/>
      <c r="I65" s="31"/>
      <c r="K65" s="10"/>
      <c r="T65" s="2"/>
    </row>
    <row r="66" spans="1:35" s="32" customFormat="1" x14ac:dyDescent="0.25">
      <c r="D66" s="36"/>
      <c r="E66" t="s">
        <v>240</v>
      </c>
      <c r="F66" s="3" t="s">
        <v>183</v>
      </c>
      <c r="G66" s="3" t="s">
        <v>111</v>
      </c>
      <c r="H66" s="3" t="s">
        <v>47</v>
      </c>
      <c r="I66" s="31">
        <v>0</v>
      </c>
      <c r="J66" s="28">
        <v>1</v>
      </c>
      <c r="K66" s="10" t="str">
        <f xml:space="preserve"> IFERROR("0x" &amp; DEC2HEX(VLOOKUP(F66,Common!$C$10:$D$34,2,FALSE),2) &amp; DEC2HEX(I66,3) &amp; DEC2HEX(VLOOKUP(G66,Common!$C$51:$D$55,2,FALSE),1) &amp; DEC2HEX(1+2*VLOOKUP(H66,Common!$C$69:$D$72,2,FALSE),1) &amp; DEC2HEX(IFERROR(LOG(J66,2),0),1),0)</f>
        <v>0x05000550</v>
      </c>
      <c r="L66" s="28" t="str">
        <f>IF(AND(LEN(E66)&lt;&gt;0,S66=""),F66&amp;"_"&amp;UPPER(E66),"")</f>
        <v>RTD_MODE</v>
      </c>
      <c r="M66" t="s">
        <v>249</v>
      </c>
      <c r="N66" s="28">
        <v>0</v>
      </c>
      <c r="O66" s="28">
        <v>0</v>
      </c>
      <c r="P66" s="28">
        <v>2</v>
      </c>
      <c r="Q66" s="28"/>
      <c r="R66" s="3" t="s">
        <v>250</v>
      </c>
      <c r="T66" s="2" t="s">
        <v>295</v>
      </c>
    </row>
    <row r="67" spans="1:35" s="32" customFormat="1" x14ac:dyDescent="0.25">
      <c r="D67" s="36"/>
      <c r="E67"/>
      <c r="F67" s="3"/>
      <c r="G67" s="3"/>
      <c r="H67" s="3"/>
      <c r="I67" s="31">
        <f xml:space="preserve"> I66+J66</f>
        <v>1</v>
      </c>
      <c r="J67" s="28"/>
      <c r="K67" s="10">
        <f xml:space="preserve"> IFERROR("0x" &amp; DEC2HEX(VLOOKUP(F67,Common!$C$10:$D$34,2,FALSE),2) &amp; DEC2HEX(I67,3) &amp; DEC2HEX(VLOOKUP(G67,Common!$C$51:$D$55,2,FALSE),1) &amp; DEC2HEX(1+2*VLOOKUP(H67,Common!$C$69:$D$72,2,FALSE),1) &amp; DEC2HEX(IFERROR(LOG(J67,2),0),1),0)</f>
        <v>0</v>
      </c>
      <c r="L67" s="3" t="s">
        <v>261</v>
      </c>
      <c r="M67" t="s">
        <v>251</v>
      </c>
      <c r="N67" s="28"/>
      <c r="O67" s="28"/>
      <c r="P67" s="28"/>
      <c r="Q67" s="28"/>
      <c r="R67" s="28"/>
      <c r="T67" s="2" t="s">
        <v>252</v>
      </c>
    </row>
    <row r="68" spans="1:35" s="10" customFormat="1" x14ac:dyDescent="0.25">
      <c r="A68" s="12"/>
      <c r="B68" s="12"/>
      <c r="C68" s="12"/>
      <c r="D68"/>
      <c r="E68"/>
      <c r="F68" s="3"/>
      <c r="G68" s="3"/>
      <c r="H68" s="3"/>
      <c r="I68" s="31">
        <f t="shared" ref="I68:I118" si="7" xml:space="preserve"> I67+J67</f>
        <v>1</v>
      </c>
      <c r="J68" s="28"/>
      <c r="K68" s="10">
        <f xml:space="preserve"> IFERROR("0x" &amp; DEC2HEX(VLOOKUP(F68,Common!$C$10:$D$34,2,FALSE),2) &amp; DEC2HEX(I68,3) &amp; DEC2HEX(VLOOKUP(G68,Common!$C$51:$D$55,2,FALSE),1) &amp; DEC2HEX(1+2*VLOOKUP(H68,Common!$C$69:$D$72,2,FALSE),1) &amp; DEC2HEX(IFERROR(LOG(J68,2),0),1),0)</f>
        <v>0</v>
      </c>
      <c r="L68" s="3" t="s">
        <v>262</v>
      </c>
      <c r="M68" t="s">
        <v>253</v>
      </c>
      <c r="N68" s="28"/>
      <c r="O68" s="28"/>
      <c r="P68" s="28"/>
      <c r="Q68" s="28"/>
      <c r="R68" s="28"/>
      <c r="S68" s="32"/>
      <c r="T68" s="2" t="s">
        <v>254</v>
      </c>
      <c r="U68" s="32"/>
      <c r="V68" s="32"/>
      <c r="W68" s="32"/>
      <c r="X68" s="32"/>
      <c r="Y68" s="32"/>
      <c r="Z68" s="32"/>
      <c r="AA68" s="12"/>
      <c r="AB68" s="12"/>
      <c r="AC68" s="12"/>
      <c r="AD68" s="12"/>
      <c r="AE68" s="12"/>
      <c r="AF68" s="12"/>
      <c r="AG68" s="12"/>
      <c r="AH68" s="12"/>
      <c r="AI68" s="12"/>
    </row>
    <row r="69" spans="1:35" s="32" customFormat="1" x14ac:dyDescent="0.25">
      <c r="D69" s="36"/>
      <c r="E69"/>
      <c r="F69" s="3"/>
      <c r="G69" s="3"/>
      <c r="H69" s="3"/>
      <c r="I69" s="31">
        <f t="shared" si="7"/>
        <v>1</v>
      </c>
      <c r="J69" s="28"/>
      <c r="K69" s="10">
        <f xml:space="preserve"> IFERROR("0x" &amp; DEC2HEX(VLOOKUP(F69,Common!$C$10:$D$34,2,FALSE),2) &amp; DEC2HEX(I69,3) &amp; DEC2HEX(VLOOKUP(G69,Common!$C$51:$D$55,2,FALSE),1) &amp; DEC2HEX(1+2*VLOOKUP(H69,Common!$C$69:$D$72,2,FALSE),1) &amp; DEC2HEX(IFERROR(LOG(J69,2),0),1),0)</f>
        <v>0</v>
      </c>
      <c r="L69" s="3" t="s">
        <v>263</v>
      </c>
      <c r="M69" t="s">
        <v>255</v>
      </c>
      <c r="N69" s="28"/>
      <c r="O69" s="28"/>
      <c r="P69" s="28"/>
      <c r="Q69" s="28"/>
      <c r="R69" s="28"/>
      <c r="T69" s="2" t="s">
        <v>256</v>
      </c>
    </row>
    <row r="70" spans="1:35" s="32" customFormat="1" x14ac:dyDescent="0.25">
      <c r="D70" s="36"/>
      <c r="E70" s="24" t="s">
        <v>296</v>
      </c>
      <c r="F70" s="23" t="s">
        <v>183</v>
      </c>
      <c r="G70" s="23" t="s">
        <v>45</v>
      </c>
      <c r="H70" s="26" t="s">
        <v>47</v>
      </c>
      <c r="I70" s="31">
        <f t="shared" si="7"/>
        <v>1</v>
      </c>
      <c r="J70" s="22">
        <v>2</v>
      </c>
      <c r="K70" s="10" t="str">
        <f xml:space="preserve"> IFERROR("0x" &amp; DEC2HEX(VLOOKUP(F70,Common!$C$10:$D$34,2,FALSE),2) &amp; DEC2HEX(I70,3) &amp; DEC2HEX(VLOOKUP(G70,Common!$C$51:$D$55,2,FALSE),1) &amp; DEC2HEX(1+2*VLOOKUP(H70,Common!$C$69:$D$72,2,FALSE),1) &amp; DEC2HEX(IFERROR(LOG(J70,2),0),1),0)</f>
        <v>0x05001151</v>
      </c>
      <c r="L70" s="23" t="str">
        <f>IF(AND(LEN(E70)&lt;&gt;0,S66=""),F70&amp;"_"&amp;UPPER(E70),"")</f>
        <v>RTD_CHANNEL_SELECT</v>
      </c>
      <c r="M70" s="21" t="s">
        <v>297</v>
      </c>
      <c r="N70" s="22">
        <v>0</v>
      </c>
      <c r="O70" s="22">
        <v>0</v>
      </c>
      <c r="P70" s="22">
        <v>8</v>
      </c>
      <c r="Q70" s="23"/>
      <c r="R70" s="23"/>
      <c r="S70" s="22"/>
      <c r="T70" s="2" t="s">
        <v>339</v>
      </c>
      <c r="U70" s="10"/>
      <c r="V70" s="10"/>
      <c r="W70" s="10"/>
      <c r="X70" s="10"/>
      <c r="Y70" s="10"/>
    </row>
    <row r="71" spans="1:35" s="32" customFormat="1" x14ac:dyDescent="0.25">
      <c r="D71" s="36"/>
      <c r="E71" s="2" t="s">
        <v>300</v>
      </c>
      <c r="F71" s="3" t="s">
        <v>183</v>
      </c>
      <c r="G71" s="3" t="s">
        <v>111</v>
      </c>
      <c r="H71" s="3" t="s">
        <v>47</v>
      </c>
      <c r="I71" s="31">
        <f t="shared" si="7"/>
        <v>3</v>
      </c>
      <c r="J71" s="10">
        <v>1</v>
      </c>
      <c r="K71" s="10" t="str">
        <f xml:space="preserve"> IFERROR("0x" &amp; DEC2HEX(VLOOKUP(F71,Common!$C$10:$D$34,2,FALSE),2) &amp; DEC2HEX(I71,3) &amp; DEC2HEX(VLOOKUP(G71,Common!$C$51:$D$55,2,FALSE),1) &amp; DEC2HEX(1+2*VLOOKUP(H71,Common!$C$69:$D$72,2,FALSE),1) &amp; DEC2HEX(IFERROR(LOG(J71,2),0),1),0)</f>
        <v>0x05003550</v>
      </c>
      <c r="L71" s="23" t="str">
        <f>IF(AND(LEN(E71)&lt;&gt;0,S67=""),F71&amp;"_"&amp;UPPER(E71),"")</f>
        <v>RTD_EXP_BOARD1_ADDR1</v>
      </c>
      <c r="M71" s="2" t="s">
        <v>364</v>
      </c>
      <c r="N71" s="10">
        <v>0</v>
      </c>
      <c r="O71" s="10">
        <v>0</v>
      </c>
      <c r="P71" s="3">
        <v>7</v>
      </c>
      <c r="Q71" s="10"/>
      <c r="R71" s="10"/>
      <c r="S71" s="10"/>
      <c r="T71" s="2" t="s">
        <v>363</v>
      </c>
      <c r="V71" s="10"/>
      <c r="W71" s="10"/>
      <c r="X71" s="10"/>
    </row>
    <row r="72" spans="1:35" s="32" customFormat="1" x14ac:dyDescent="0.25">
      <c r="D72" s="36"/>
      <c r="E72" s="10"/>
      <c r="F72" s="10"/>
      <c r="G72" s="10"/>
      <c r="H72" s="10"/>
      <c r="I72" s="31">
        <f t="shared" si="7"/>
        <v>4</v>
      </c>
      <c r="J72" s="10"/>
      <c r="K72" s="10">
        <f xml:space="preserve"> IFERROR("0x" &amp; DEC2HEX(VLOOKUP(F72,Common!$C$10:$D$34,2,FALSE),2) &amp; DEC2HEX(I72,3) &amp; DEC2HEX(VLOOKUP(G72,Common!$C$51:$D$55,2,FALSE),1) &amp; DEC2HEX(1+2*VLOOKUP(H72,Common!$C$69:$D$72,2,FALSE),1) &amp; DEC2HEX(IFERROR(LOG(J72,2),0),1),0)</f>
        <v>0</v>
      </c>
      <c r="L72" s="3" t="s">
        <v>306</v>
      </c>
      <c r="M72" t="s">
        <v>346</v>
      </c>
      <c r="N72" s="10"/>
      <c r="O72" s="10"/>
      <c r="P72" s="10"/>
      <c r="Q72" s="10"/>
      <c r="R72" s="10"/>
      <c r="S72" s="10"/>
      <c r="T72" s="2"/>
      <c r="U72"/>
      <c r="V72"/>
      <c r="W72"/>
      <c r="X72"/>
    </row>
    <row r="73" spans="1:35" s="32" customFormat="1" x14ac:dyDescent="0.25">
      <c r="D73" s="36"/>
      <c r="E73" s="24"/>
      <c r="F73" s="23"/>
      <c r="G73" s="23"/>
      <c r="H73" s="26"/>
      <c r="I73" s="31">
        <f t="shared" si="7"/>
        <v>4</v>
      </c>
      <c r="J73" s="22"/>
      <c r="K73" s="10">
        <f xml:space="preserve"> IFERROR("0x" &amp; DEC2HEX(VLOOKUP(F73,Common!$C$10:$D$34,2,FALSE),2) &amp; DEC2HEX(I73,3) &amp; DEC2HEX(VLOOKUP(G73,Common!$C$51:$D$55,2,FALSE),1) &amp; DEC2HEX(1+2*VLOOKUP(H73,Common!$C$69:$D$72,2,FALSE),1) &amp; DEC2HEX(IFERROR(LOG(J73,2),0),1),0)</f>
        <v>0</v>
      </c>
      <c r="L73" s="3" t="s">
        <v>307</v>
      </c>
      <c r="M73" t="s">
        <v>355</v>
      </c>
      <c r="N73" s="22"/>
      <c r="O73" s="22"/>
      <c r="P73" s="22"/>
      <c r="Q73" s="23"/>
      <c r="R73" s="23"/>
      <c r="S73" s="22"/>
      <c r="T73" s="2"/>
      <c r="U73"/>
      <c r="V73"/>
      <c r="W73"/>
      <c r="X73"/>
      <c r="Z73" s="12"/>
    </row>
    <row r="74" spans="1:35" s="32" customFormat="1" x14ac:dyDescent="0.25">
      <c r="D74" s="36"/>
      <c r="E74" s="24"/>
      <c r="F74" s="23"/>
      <c r="G74" s="23"/>
      <c r="H74" s="26"/>
      <c r="I74" s="31">
        <f t="shared" si="7"/>
        <v>4</v>
      </c>
      <c r="J74" s="22"/>
      <c r="K74" s="10">
        <f xml:space="preserve"> IFERROR("0x" &amp; DEC2HEX(VLOOKUP(F74,Common!$C$10:$D$34,2,FALSE),2) &amp; DEC2HEX(I74,3) &amp; DEC2HEX(VLOOKUP(G74,Common!$C$51:$D$55,2,FALSE),1) &amp; DEC2HEX(1+2*VLOOKUP(H74,Common!$C$69:$D$72,2,FALSE),1) &amp; DEC2HEX(IFERROR(LOG(J74,2),0),1),0)</f>
        <v>0</v>
      </c>
      <c r="L74" s="3" t="s">
        <v>308</v>
      </c>
      <c r="M74" t="s">
        <v>347</v>
      </c>
      <c r="N74" s="22"/>
      <c r="O74" s="22"/>
      <c r="P74" s="22"/>
      <c r="Q74" s="23"/>
      <c r="R74" s="23"/>
      <c r="S74" s="22"/>
      <c r="T74" s="2"/>
      <c r="U74"/>
      <c r="V74"/>
      <c r="W74"/>
      <c r="X74"/>
      <c r="Z74" s="12"/>
    </row>
    <row r="75" spans="1:35" s="32" customFormat="1" x14ac:dyDescent="0.25">
      <c r="D75" s="36"/>
      <c r="E75" s="24"/>
      <c r="F75" s="23"/>
      <c r="G75" s="23"/>
      <c r="H75" s="26"/>
      <c r="I75" s="31">
        <f t="shared" si="7"/>
        <v>4</v>
      </c>
      <c r="J75" s="22"/>
      <c r="K75" s="10">
        <f xml:space="preserve"> IFERROR("0x" &amp; DEC2HEX(VLOOKUP(F75,Common!$C$10:$D$34,2,FALSE),2) &amp; DEC2HEX(I75,3) &amp; DEC2HEX(VLOOKUP(G75,Common!$C$51:$D$55,2,FALSE),1) &amp; DEC2HEX(1+2*VLOOKUP(H75,Common!$C$69:$D$72,2,FALSE),1) &amp; DEC2HEX(IFERROR(LOG(J75,2),0),1),0)</f>
        <v>0</v>
      </c>
      <c r="L75" s="3" t="s">
        <v>309</v>
      </c>
      <c r="M75" s="21" t="s">
        <v>348</v>
      </c>
      <c r="N75" s="22"/>
      <c r="O75" s="22"/>
      <c r="P75" s="22"/>
      <c r="Q75" s="23"/>
      <c r="R75" s="23"/>
      <c r="S75" s="22"/>
      <c r="T75" s="2"/>
      <c r="U75"/>
      <c r="V75"/>
      <c r="W75"/>
      <c r="X75"/>
    </row>
    <row r="76" spans="1:35" s="32" customFormat="1" x14ac:dyDescent="0.25">
      <c r="D76" s="36"/>
      <c r="E76" s="24"/>
      <c r="F76" s="23"/>
      <c r="G76" s="23"/>
      <c r="H76" s="26"/>
      <c r="I76" s="31">
        <f t="shared" si="7"/>
        <v>4</v>
      </c>
      <c r="J76" s="22"/>
      <c r="K76" s="10">
        <f xml:space="preserve"> IFERROR("0x" &amp; DEC2HEX(VLOOKUP(F76,Common!$C$10:$D$34,2,FALSE),2) &amp; DEC2HEX(I76,3) &amp; DEC2HEX(VLOOKUP(G76,Common!$C$51:$D$55,2,FALSE),1) &amp; DEC2HEX(1+2*VLOOKUP(H76,Common!$C$69:$D$72,2,FALSE),1) &amp; DEC2HEX(IFERROR(LOG(J76,2),0),1),0)</f>
        <v>0</v>
      </c>
      <c r="L76" s="3" t="s">
        <v>310</v>
      </c>
      <c r="M76" s="21" t="s">
        <v>349</v>
      </c>
      <c r="N76" s="22"/>
      <c r="O76" s="22"/>
      <c r="P76" s="22"/>
      <c r="Q76" s="23"/>
      <c r="R76" s="23"/>
      <c r="S76" s="22"/>
      <c r="T76" s="2"/>
      <c r="U76"/>
      <c r="V76"/>
      <c r="W76"/>
      <c r="X76"/>
      <c r="Z76" s="12"/>
    </row>
    <row r="77" spans="1:35" s="32" customFormat="1" x14ac:dyDescent="0.25">
      <c r="D77" s="36"/>
      <c r="E77" s="10"/>
      <c r="F77" s="10"/>
      <c r="G77" s="10"/>
      <c r="H77" s="10"/>
      <c r="I77" s="31">
        <f t="shared" si="7"/>
        <v>4</v>
      </c>
      <c r="J77" s="10"/>
      <c r="K77" s="10">
        <f xml:space="preserve"> IFERROR("0x" &amp; DEC2HEX(VLOOKUP(F77,Common!$C$10:$D$34,2,FALSE),2) &amp; DEC2HEX(I77,3) &amp; DEC2HEX(VLOOKUP(G77,Common!$C$51:$D$55,2,FALSE),1) &amp; DEC2HEX(1+2*VLOOKUP(H77,Common!$C$69:$D$72,2,FALSE),1) &amp; DEC2HEX(IFERROR(LOG(J77,2),0),1),0)</f>
        <v>0</v>
      </c>
      <c r="L77" s="3" t="s">
        <v>311</v>
      </c>
      <c r="M77" s="21" t="s">
        <v>350</v>
      </c>
      <c r="N77" s="10"/>
      <c r="O77" s="10"/>
      <c r="P77" s="10"/>
      <c r="Q77" s="10"/>
      <c r="R77" s="10"/>
      <c r="S77" s="10"/>
      <c r="T77" s="2"/>
      <c r="U77" s="10"/>
      <c r="V77" s="10"/>
      <c r="W77"/>
      <c r="X77"/>
      <c r="Z77" s="12"/>
    </row>
    <row r="78" spans="1:35" s="32" customFormat="1" x14ac:dyDescent="0.25">
      <c r="D78" s="36"/>
      <c r="E78" s="24"/>
      <c r="F78" s="23"/>
      <c r="G78" s="23"/>
      <c r="H78" s="26"/>
      <c r="I78" s="31">
        <f t="shared" si="7"/>
        <v>4</v>
      </c>
      <c r="J78" s="22"/>
      <c r="K78" s="10">
        <f xml:space="preserve"> IFERROR("0x" &amp; DEC2HEX(VLOOKUP(F78,Common!$C$10:$D$34,2,FALSE),2) &amp; DEC2HEX(I78,3) &amp; DEC2HEX(VLOOKUP(G78,Common!$C$51:$D$55,2,FALSE),1) &amp; DEC2HEX(1+2*VLOOKUP(H78,Common!$C$69:$D$72,2,FALSE),1) &amp; DEC2HEX(IFERROR(LOG(J78,2),0),1),0)</f>
        <v>0</v>
      </c>
      <c r="L78" s="3" t="s">
        <v>312</v>
      </c>
      <c r="M78" s="21" t="s">
        <v>351</v>
      </c>
      <c r="N78" s="22"/>
      <c r="O78" s="22"/>
      <c r="P78" s="22"/>
      <c r="Q78" s="23"/>
      <c r="R78" s="23"/>
      <c r="S78" s="22"/>
      <c r="T78" s="2"/>
      <c r="U78"/>
      <c r="V78"/>
      <c r="W78"/>
      <c r="X78"/>
      <c r="Y78"/>
    </row>
    <row r="79" spans="1:35" s="32" customFormat="1" x14ac:dyDescent="0.25">
      <c r="D79" s="36"/>
      <c r="E79" s="24"/>
      <c r="F79" s="23"/>
      <c r="G79" s="23"/>
      <c r="H79" s="26"/>
      <c r="I79" s="31">
        <f t="shared" si="7"/>
        <v>4</v>
      </c>
      <c r="J79" s="22"/>
      <c r="K79" s="10">
        <f xml:space="preserve"> IFERROR("0x" &amp; DEC2HEX(VLOOKUP(F79,Common!$C$10:$D$34,2,FALSE),2) &amp; DEC2HEX(I79,3) &amp; DEC2HEX(VLOOKUP(G79,Common!$C$51:$D$55,2,FALSE),1) &amp; DEC2HEX(1+2*VLOOKUP(H79,Common!$C$69:$D$72,2,FALSE),1) &amp; DEC2HEX(IFERROR(LOG(J79,2),0),1),0)</f>
        <v>0</v>
      </c>
      <c r="L79" s="3" t="s">
        <v>313</v>
      </c>
      <c r="M79" s="21" t="s">
        <v>352</v>
      </c>
      <c r="N79" s="22"/>
      <c r="O79" s="22"/>
      <c r="P79" s="22"/>
      <c r="Q79" s="23"/>
      <c r="R79" s="23"/>
      <c r="S79" s="22"/>
      <c r="T79" s="2"/>
      <c r="U79"/>
      <c r="V79"/>
      <c r="W79"/>
      <c r="X79"/>
    </row>
    <row r="80" spans="1:35" s="10" customFormat="1" x14ac:dyDescent="0.25">
      <c r="E80" s="2" t="s">
        <v>301</v>
      </c>
      <c r="F80" s="3" t="s">
        <v>183</v>
      </c>
      <c r="G80" s="3" t="s">
        <v>111</v>
      </c>
      <c r="H80" s="3" t="s">
        <v>47</v>
      </c>
      <c r="I80" s="31">
        <f t="shared" si="7"/>
        <v>4</v>
      </c>
      <c r="J80" s="10">
        <v>1</v>
      </c>
      <c r="K80" s="10" t="str">
        <f xml:space="preserve"> IFERROR("0x" &amp; DEC2HEX(VLOOKUP(F80,Common!$C$10:$D$34,2,FALSE),2) &amp; DEC2HEX(I80,3) &amp; DEC2HEX(VLOOKUP(G80,Common!$C$51:$D$55,2,FALSE),1) &amp; DEC2HEX(1+2*VLOOKUP(H80,Common!$C$69:$D$72,2,FALSE),1) &amp; DEC2HEX(IFERROR(LOG(J80,2),0),1),0)</f>
        <v>0x05004550</v>
      </c>
      <c r="L80" s="3" t="str">
        <f>IF(AND(LEN(E80)&lt;&gt;0,S67=""),F80&amp;"_"&amp;UPPER(E80),"")</f>
        <v>RTD_EXP_BOARD1_ADDR2</v>
      </c>
      <c r="M80" s="2" t="s">
        <v>362</v>
      </c>
      <c r="N80" s="10">
        <v>1</v>
      </c>
      <c r="O80" s="10">
        <v>0</v>
      </c>
      <c r="P80" s="10">
        <v>7</v>
      </c>
      <c r="T80" s="2" t="s">
        <v>361</v>
      </c>
      <c r="U80"/>
      <c r="V80"/>
      <c r="W80"/>
      <c r="X80"/>
      <c r="AB80" s="12"/>
      <c r="AC80" s="12"/>
      <c r="AD80" s="12"/>
      <c r="AE80" s="12"/>
      <c r="AF80" s="12"/>
      <c r="AG80" s="12"/>
      <c r="AH80" s="12"/>
      <c r="AI80" s="12"/>
    </row>
    <row r="81" spans="1:35" s="10" customFormat="1" x14ac:dyDescent="0.25">
      <c r="A81" s="12"/>
      <c r="B81" s="12"/>
      <c r="C81" s="12"/>
      <c r="D81"/>
      <c r="I81" s="31">
        <f t="shared" si="7"/>
        <v>5</v>
      </c>
      <c r="K81" s="10">
        <f xml:space="preserve"> IFERROR("0x" &amp; DEC2HEX(VLOOKUP(F81,Common!$C$10:$D$34,2,FALSE),2) &amp; DEC2HEX(I81,3) &amp; DEC2HEX(VLOOKUP(G81,Common!$C$51:$D$55,2,FALSE),1) &amp; DEC2HEX(1+2*VLOOKUP(H81,Common!$C$69:$D$72,2,FALSE),1) &amp; DEC2HEX(IFERROR(LOG(J81,2),0),1),0)</f>
        <v>0</v>
      </c>
      <c r="L81" s="3" t="s">
        <v>314</v>
      </c>
      <c r="M81" t="s">
        <v>340</v>
      </c>
      <c r="T81" s="2"/>
      <c r="AA81" s="12"/>
      <c r="AB81" s="12"/>
      <c r="AC81" s="12"/>
      <c r="AD81" s="12"/>
      <c r="AE81" s="12"/>
      <c r="AF81" s="12"/>
      <c r="AG81" s="12"/>
      <c r="AH81" s="12"/>
      <c r="AI81" s="12"/>
    </row>
    <row r="82" spans="1:35" s="32" customFormat="1" x14ac:dyDescent="0.25">
      <c r="A82" s="12"/>
      <c r="B82" s="12"/>
      <c r="C82" s="12"/>
      <c r="D82"/>
      <c r="E82" s="24"/>
      <c r="F82" s="23"/>
      <c r="G82" s="23"/>
      <c r="H82" s="26"/>
      <c r="I82" s="31">
        <f t="shared" si="7"/>
        <v>5</v>
      </c>
      <c r="J82" s="22"/>
      <c r="K82" s="10">
        <f xml:space="preserve"> IFERROR("0x" &amp; DEC2HEX(VLOOKUP(F82,Common!$C$10:$D$34,2,FALSE),2) &amp; DEC2HEX(I82,3) &amp; DEC2HEX(VLOOKUP(G82,Common!$C$51:$D$55,2,FALSE),1) &amp; DEC2HEX(1+2*VLOOKUP(H82,Common!$C$69:$D$72,2,FALSE),1) &amp; DEC2HEX(IFERROR(LOG(J82,2),0),1),0)</f>
        <v>0</v>
      </c>
      <c r="L82" s="3" t="s">
        <v>315</v>
      </c>
      <c r="M82" t="s">
        <v>353</v>
      </c>
      <c r="N82" s="22"/>
      <c r="O82" s="22"/>
      <c r="P82" s="22"/>
      <c r="Q82" s="23"/>
      <c r="R82" s="23"/>
      <c r="S82" s="22"/>
      <c r="T82" s="2"/>
      <c r="U82" s="10"/>
      <c r="V82" s="10"/>
      <c r="W82" s="10"/>
      <c r="X82" s="10"/>
      <c r="AA82" s="12"/>
    </row>
    <row r="83" spans="1:35" s="10" customFormat="1" x14ac:dyDescent="0.25">
      <c r="A83" s="32"/>
      <c r="B83" s="32"/>
      <c r="C83" s="32"/>
      <c r="D83" s="36"/>
      <c r="E83" s="24"/>
      <c r="F83" s="23"/>
      <c r="G83" s="23"/>
      <c r="H83" s="26"/>
      <c r="I83" s="31">
        <f t="shared" si="7"/>
        <v>5</v>
      </c>
      <c r="J83" s="22"/>
      <c r="K83" s="10">
        <f xml:space="preserve"> IFERROR("0x" &amp; DEC2HEX(VLOOKUP(F83,Common!$C$10:$D$34,2,FALSE),2) &amp; DEC2HEX(I83,3) &amp; DEC2HEX(VLOOKUP(G83,Common!$C$51:$D$55,2,FALSE),1) &amp; DEC2HEX(1+2*VLOOKUP(H83,Common!$C$69:$D$72,2,FALSE),1) &amp; DEC2HEX(IFERROR(LOG(J83,2),0),1),0)</f>
        <v>0</v>
      </c>
      <c r="L83" s="3" t="s">
        <v>316</v>
      </c>
      <c r="M83" t="s">
        <v>354</v>
      </c>
      <c r="N83" s="22"/>
      <c r="O83" s="22"/>
      <c r="P83" s="22"/>
      <c r="Q83" s="23"/>
      <c r="R83" s="23"/>
      <c r="S83" s="22"/>
      <c r="T83" s="2"/>
      <c r="AA83" s="32"/>
      <c r="AB83" s="12"/>
      <c r="AC83" s="12"/>
      <c r="AD83" s="12"/>
      <c r="AE83" s="12"/>
      <c r="AF83" s="12"/>
      <c r="AG83" s="12"/>
      <c r="AH83" s="12"/>
      <c r="AI83" s="12"/>
    </row>
    <row r="84" spans="1:35" s="10" customFormat="1" x14ac:dyDescent="0.25">
      <c r="A84" s="12"/>
      <c r="B84" s="12"/>
      <c r="C84" s="12"/>
      <c r="D84"/>
      <c r="E84" s="24"/>
      <c r="F84" s="23"/>
      <c r="G84" s="23"/>
      <c r="H84" s="26"/>
      <c r="I84" s="31">
        <f t="shared" si="7"/>
        <v>5</v>
      </c>
      <c r="J84" s="22"/>
      <c r="K84" s="10">
        <f xml:space="preserve"> IFERROR("0x" &amp; DEC2HEX(VLOOKUP(F84,Common!$C$10:$D$34,2,FALSE),2) &amp; DEC2HEX(I84,3) &amp; DEC2HEX(VLOOKUP(G84,Common!$C$51:$D$55,2,FALSE),1) &amp; DEC2HEX(1+2*VLOOKUP(H84,Common!$C$69:$D$72,2,FALSE),1) &amp; DEC2HEX(IFERROR(LOG(J84,2),0),1),0)</f>
        <v>0</v>
      </c>
      <c r="L84" s="3" t="s">
        <v>317</v>
      </c>
      <c r="M84" s="21" t="s">
        <v>341</v>
      </c>
      <c r="N84" s="22"/>
      <c r="O84" s="22"/>
      <c r="P84" s="22"/>
      <c r="Q84" s="23"/>
      <c r="R84" s="23"/>
      <c r="S84" s="22"/>
      <c r="T84" s="2"/>
      <c r="AA84" s="12"/>
      <c r="AB84" s="12"/>
      <c r="AC84" s="12"/>
      <c r="AD84" s="12"/>
      <c r="AE84" s="12"/>
      <c r="AF84" s="12"/>
      <c r="AG84" s="12"/>
      <c r="AH84" s="12"/>
      <c r="AI84" s="12"/>
    </row>
    <row r="85" spans="1:35" s="10" customFormat="1" x14ac:dyDescent="0.25">
      <c r="A85" s="12"/>
      <c r="B85" s="12"/>
      <c r="C85" s="12"/>
      <c r="D85"/>
      <c r="E85" s="24"/>
      <c r="F85" s="23"/>
      <c r="G85" s="23"/>
      <c r="H85" s="26"/>
      <c r="I85" s="31">
        <f t="shared" si="7"/>
        <v>5</v>
      </c>
      <c r="J85" s="22"/>
      <c r="K85" s="10">
        <f xml:space="preserve"> IFERROR("0x" &amp; DEC2HEX(VLOOKUP(F85,Common!$C$10:$D$34,2,FALSE),2) &amp; DEC2HEX(I85,3) &amp; DEC2HEX(VLOOKUP(G85,Common!$C$51:$D$55,2,FALSE),1) &amp; DEC2HEX(1+2*VLOOKUP(H85,Common!$C$69:$D$72,2,FALSE),1) &amp; DEC2HEX(IFERROR(LOG(J85,2),0),1),0)</f>
        <v>0</v>
      </c>
      <c r="L85" s="3" t="s">
        <v>318</v>
      </c>
      <c r="M85" s="21" t="s">
        <v>342</v>
      </c>
      <c r="N85" s="22"/>
      <c r="O85" s="22"/>
      <c r="P85" s="22"/>
      <c r="Q85" s="23"/>
      <c r="R85" s="23"/>
      <c r="S85" s="22"/>
      <c r="T85" s="2"/>
      <c r="AA85" s="12"/>
      <c r="AB85" s="12"/>
      <c r="AC85" s="12"/>
      <c r="AD85" s="12"/>
      <c r="AE85" s="12"/>
      <c r="AF85" s="12"/>
      <c r="AG85" s="12"/>
      <c r="AH85" s="12"/>
      <c r="AI85" s="12"/>
    </row>
    <row r="86" spans="1:35" s="10" customFormat="1" x14ac:dyDescent="0.25">
      <c r="A86" s="12"/>
      <c r="B86" s="12"/>
      <c r="C86" s="12"/>
      <c r="D86"/>
      <c r="I86" s="31">
        <f t="shared" si="7"/>
        <v>5</v>
      </c>
      <c r="K86" s="10">
        <f xml:space="preserve"> IFERROR("0x" &amp; DEC2HEX(VLOOKUP(F86,Common!$C$10:$D$34,2,FALSE),2) &amp; DEC2HEX(I86,3) &amp; DEC2HEX(VLOOKUP(G86,Common!$C$51:$D$55,2,FALSE),1) &amp; DEC2HEX(1+2*VLOOKUP(H86,Common!$C$69:$D$72,2,FALSE),1) &amp; DEC2HEX(IFERROR(LOG(J86,2),0),1),0)</f>
        <v>0</v>
      </c>
      <c r="L86" s="3" t="s">
        <v>319</v>
      </c>
      <c r="M86" s="21" t="s">
        <v>343</v>
      </c>
      <c r="T86" s="2"/>
      <c r="U86"/>
      <c r="V86"/>
      <c r="W86"/>
      <c r="X86"/>
      <c r="AA86" s="12"/>
      <c r="AB86" s="12"/>
      <c r="AC86" s="12"/>
      <c r="AD86" s="12"/>
      <c r="AE86" s="12"/>
      <c r="AF86" s="12"/>
      <c r="AG86" s="12"/>
      <c r="AH86" s="12"/>
      <c r="AI86" s="12"/>
    </row>
    <row r="87" spans="1:35" s="10" customFormat="1" x14ac:dyDescent="0.25">
      <c r="A87" s="12"/>
      <c r="B87" s="12"/>
      <c r="C87" s="12"/>
      <c r="D87"/>
      <c r="E87" s="24"/>
      <c r="F87" s="23"/>
      <c r="G87" s="23"/>
      <c r="H87" s="26"/>
      <c r="I87" s="31">
        <f t="shared" si="7"/>
        <v>5</v>
      </c>
      <c r="J87" s="22"/>
      <c r="K87" s="10">
        <f xml:space="preserve"> IFERROR("0x" &amp; DEC2HEX(VLOOKUP(F87,Common!$C$10:$D$34,2,FALSE),2) &amp; DEC2HEX(I87,3) &amp; DEC2HEX(VLOOKUP(G87,Common!$C$51:$D$55,2,FALSE),1) &amp; DEC2HEX(1+2*VLOOKUP(H87,Common!$C$69:$D$72,2,FALSE),1) &amp; DEC2HEX(IFERROR(LOG(J87,2),0),1),0)</f>
        <v>0</v>
      </c>
      <c r="L87" s="3" t="s">
        <v>320</v>
      </c>
      <c r="M87" s="21" t="s">
        <v>344</v>
      </c>
      <c r="N87" s="22"/>
      <c r="O87" s="22"/>
      <c r="P87" s="22"/>
      <c r="Q87" s="23"/>
      <c r="R87" s="23"/>
      <c r="S87" s="22"/>
      <c r="T87" s="2"/>
      <c r="U87"/>
      <c r="V87"/>
      <c r="W87"/>
      <c r="X87"/>
      <c r="AA87" s="12"/>
      <c r="AB87" s="12"/>
      <c r="AC87" s="12"/>
      <c r="AD87" s="12"/>
      <c r="AE87" s="12"/>
      <c r="AF87" s="12"/>
      <c r="AG87" s="12"/>
      <c r="AH87" s="12"/>
      <c r="AI87" s="12"/>
    </row>
    <row r="88" spans="1:35" s="10" customFormat="1" x14ac:dyDescent="0.25">
      <c r="A88" s="12"/>
      <c r="B88" s="12"/>
      <c r="C88" s="12"/>
      <c r="D88"/>
      <c r="E88" s="24"/>
      <c r="F88" s="23"/>
      <c r="G88" s="23"/>
      <c r="H88" s="26"/>
      <c r="I88" s="31">
        <f t="shared" si="7"/>
        <v>5</v>
      </c>
      <c r="J88" s="22"/>
      <c r="K88" s="10">
        <f xml:space="preserve"> IFERROR("0x" &amp; DEC2HEX(VLOOKUP(F88,Common!$C$10:$D$34,2,FALSE),2) &amp; DEC2HEX(I88,3) &amp; DEC2HEX(VLOOKUP(G88,Common!$C$51:$D$55,2,FALSE),1) &amp; DEC2HEX(1+2*VLOOKUP(H88,Common!$C$69:$D$72,2,FALSE),1) &amp; DEC2HEX(IFERROR(LOG(J88,2),0),1),0)</f>
        <v>0</v>
      </c>
      <c r="L88" s="3" t="s">
        <v>321</v>
      </c>
      <c r="M88" s="21" t="s">
        <v>345</v>
      </c>
      <c r="N88" s="22"/>
      <c r="O88" s="22"/>
      <c r="P88" s="22"/>
      <c r="Q88" s="23"/>
      <c r="R88" s="23"/>
      <c r="S88" s="22"/>
      <c r="T88" s="2"/>
      <c r="U88"/>
      <c r="V88"/>
      <c r="W88"/>
      <c r="X88"/>
      <c r="AA88" s="12"/>
      <c r="AB88" s="12"/>
      <c r="AC88" s="12"/>
      <c r="AD88" s="12"/>
      <c r="AE88" s="12"/>
      <c r="AF88" s="12"/>
      <c r="AG88" s="12"/>
      <c r="AH88" s="12"/>
      <c r="AI88" s="12"/>
    </row>
    <row r="89" spans="1:35" s="10" customFormat="1" x14ac:dyDescent="0.25">
      <c r="A89" s="32"/>
      <c r="B89" s="32"/>
      <c r="C89" s="32"/>
      <c r="D89" s="36"/>
      <c r="E89" s="2" t="s">
        <v>302</v>
      </c>
      <c r="F89" s="3" t="s">
        <v>183</v>
      </c>
      <c r="G89" s="3" t="s">
        <v>111</v>
      </c>
      <c r="H89" s="3" t="s">
        <v>47</v>
      </c>
      <c r="I89" s="31">
        <f t="shared" si="7"/>
        <v>5</v>
      </c>
      <c r="J89" s="10">
        <v>1</v>
      </c>
      <c r="K89" s="10" t="str">
        <f xml:space="preserve"> IFERROR("0x" &amp; DEC2HEX(VLOOKUP(F89,Common!$C$10:$D$34,2,FALSE),2) &amp; DEC2HEX(I89,3) &amp; DEC2HEX(VLOOKUP(G89,Common!$C$51:$D$55,2,FALSE),1) &amp; DEC2HEX(1+2*VLOOKUP(H89,Common!$C$69:$D$72,2,FALSE),1) &amp; DEC2HEX(IFERROR(LOG(J89,2),0),1),0)</f>
        <v>0x05005550</v>
      </c>
      <c r="L89" s="3" t="s">
        <v>304</v>
      </c>
      <c r="M89" s="2" t="s">
        <v>365</v>
      </c>
      <c r="N89" s="10">
        <v>2</v>
      </c>
      <c r="O89" s="10">
        <v>0</v>
      </c>
      <c r="P89" s="3">
        <v>7</v>
      </c>
      <c r="T89" s="2" t="s">
        <v>360</v>
      </c>
      <c r="Y89" s="32"/>
      <c r="AB89" s="12"/>
    </row>
    <row r="90" spans="1:35" s="10" customFormat="1" x14ac:dyDescent="0.25">
      <c r="A90" s="32"/>
      <c r="B90" s="32"/>
      <c r="C90" s="32"/>
      <c r="D90" s="36"/>
      <c r="I90" s="31">
        <f t="shared" si="7"/>
        <v>6</v>
      </c>
      <c r="K90" s="10">
        <f xml:space="preserve"> IFERROR("0x" &amp; DEC2HEX(VLOOKUP(F90,Common!$C$10:$D$34,2,FALSE),2) &amp; DEC2HEX(I90,3) &amp; DEC2HEX(VLOOKUP(G90,Common!$C$51:$D$55,2,FALSE),1) &amp; DEC2HEX(1+2*VLOOKUP(H90,Common!$C$69:$D$72,2,FALSE),1) &amp; DEC2HEX(IFERROR(LOG(J90,2),0),1),0)</f>
        <v>0</v>
      </c>
      <c r="L90" s="3" t="s">
        <v>322</v>
      </c>
      <c r="M90" t="s">
        <v>346</v>
      </c>
      <c r="T90" s="2"/>
      <c r="U90"/>
      <c r="V90"/>
      <c r="W90"/>
      <c r="X90"/>
      <c r="Y90" s="32"/>
      <c r="AB90" s="12"/>
    </row>
    <row r="91" spans="1:35" s="10" customFormat="1" ht="15.75" customHeight="1" x14ac:dyDescent="0.25">
      <c r="A91" s="32"/>
      <c r="B91" s="32"/>
      <c r="C91" s="32"/>
      <c r="D91" s="36"/>
      <c r="E91" s="24"/>
      <c r="F91" s="23"/>
      <c r="G91" s="23"/>
      <c r="H91" s="26"/>
      <c r="I91" s="31">
        <f t="shared" si="7"/>
        <v>6</v>
      </c>
      <c r="J91" s="22"/>
      <c r="K91" s="10">
        <f xml:space="preserve"> IFERROR("0x" &amp; DEC2HEX(VLOOKUP(F91,Common!$C$10:$D$34,2,FALSE),2) &amp; DEC2HEX(I91,3) &amp; DEC2HEX(VLOOKUP(G91,Common!$C$51:$D$55,2,FALSE),1) &amp; DEC2HEX(1+2*VLOOKUP(H91,Common!$C$69:$D$72,2,FALSE),1) &amp; DEC2HEX(IFERROR(LOG(J91,2),0),1),0)</f>
        <v>0</v>
      </c>
      <c r="L91" s="3" t="s">
        <v>323</v>
      </c>
      <c r="M91" t="s">
        <v>355</v>
      </c>
      <c r="N91" s="22"/>
      <c r="O91" s="22"/>
      <c r="P91" s="22"/>
      <c r="Q91" s="23"/>
      <c r="R91" s="23"/>
      <c r="S91" s="22"/>
      <c r="T91" s="2"/>
      <c r="U91"/>
      <c r="V91"/>
      <c r="W91"/>
      <c r="X91"/>
      <c r="Y91" s="32"/>
      <c r="AB91" s="12"/>
    </row>
    <row r="92" spans="1:35" s="10" customFormat="1" x14ac:dyDescent="0.25">
      <c r="A92" s="32"/>
      <c r="B92" s="32"/>
      <c r="C92" s="32"/>
      <c r="D92" s="36"/>
      <c r="E92" s="24"/>
      <c r="F92" s="23"/>
      <c r="G92" s="23"/>
      <c r="H92" s="26"/>
      <c r="I92" s="31">
        <f t="shared" si="7"/>
        <v>6</v>
      </c>
      <c r="J92" s="22"/>
      <c r="K92" s="10">
        <f xml:space="preserve"> IFERROR("0x" &amp; DEC2HEX(VLOOKUP(F92,Common!$C$10:$D$34,2,FALSE),2) &amp; DEC2HEX(I92,3) &amp; DEC2HEX(VLOOKUP(G92,Common!$C$51:$D$55,2,FALSE),1) &amp; DEC2HEX(1+2*VLOOKUP(H92,Common!$C$69:$D$72,2,FALSE),1) &amp; DEC2HEX(IFERROR(LOG(J92,2),0),1),0)</f>
        <v>0</v>
      </c>
      <c r="L92" s="3" t="s">
        <v>324</v>
      </c>
      <c r="M92" t="s">
        <v>347</v>
      </c>
      <c r="N92" s="22"/>
      <c r="O92" s="22"/>
      <c r="P92" s="22"/>
      <c r="Q92" s="23"/>
      <c r="R92" s="23"/>
      <c r="S92" s="22"/>
      <c r="T92" s="2"/>
      <c r="U92"/>
      <c r="V92"/>
      <c r="W92"/>
      <c r="X92"/>
      <c r="Y92" s="32"/>
      <c r="AB92" s="12"/>
    </row>
    <row r="93" spans="1:35" s="10" customFormat="1" x14ac:dyDescent="0.25">
      <c r="A93" s="32"/>
      <c r="B93" s="32"/>
      <c r="C93" s="32"/>
      <c r="D93" s="36"/>
      <c r="E93" s="24"/>
      <c r="F93" s="23"/>
      <c r="G93" s="23"/>
      <c r="H93" s="26"/>
      <c r="I93" s="31">
        <f t="shared" si="7"/>
        <v>6</v>
      </c>
      <c r="J93" s="22"/>
      <c r="K93" s="10">
        <f xml:space="preserve"> IFERROR("0x" &amp; DEC2HEX(VLOOKUP(F93,Common!$C$10:$D$34,2,FALSE),2) &amp; DEC2HEX(I93,3) &amp; DEC2HEX(VLOOKUP(G93,Common!$C$51:$D$55,2,FALSE),1) &amp; DEC2HEX(1+2*VLOOKUP(H93,Common!$C$69:$D$72,2,FALSE),1) &amp; DEC2HEX(IFERROR(LOG(J93,2),0),1),0)</f>
        <v>0</v>
      </c>
      <c r="L93" s="3" t="s">
        <v>325</v>
      </c>
      <c r="M93" s="21" t="s">
        <v>348</v>
      </c>
      <c r="N93" s="22"/>
      <c r="O93" s="22"/>
      <c r="P93" s="22"/>
      <c r="Q93" s="23"/>
      <c r="R93" s="23"/>
      <c r="S93" s="22"/>
      <c r="T93" s="2"/>
      <c r="U93"/>
      <c r="V93"/>
      <c r="W93"/>
      <c r="X93"/>
      <c r="Y93" s="32"/>
      <c r="AB93" s="12"/>
    </row>
    <row r="94" spans="1:35" s="10" customFormat="1" x14ac:dyDescent="0.25">
      <c r="A94" s="32"/>
      <c r="B94" s="32"/>
      <c r="C94" s="32"/>
      <c r="D94" s="36"/>
      <c r="E94" s="24"/>
      <c r="F94" s="23"/>
      <c r="G94" s="23"/>
      <c r="H94" s="26"/>
      <c r="I94" s="31">
        <f t="shared" si="7"/>
        <v>6</v>
      </c>
      <c r="J94" s="22"/>
      <c r="K94" s="10">
        <f xml:space="preserve"> IFERROR("0x" &amp; DEC2HEX(VLOOKUP(F94,Common!$C$10:$D$34,2,FALSE),2) &amp; DEC2HEX(I94,3) &amp; DEC2HEX(VLOOKUP(G94,Common!$C$51:$D$55,2,FALSE),1) &amp; DEC2HEX(1+2*VLOOKUP(H94,Common!$C$69:$D$72,2,FALSE),1) &amp; DEC2HEX(IFERROR(LOG(J94,2),0),1),0)</f>
        <v>0</v>
      </c>
      <c r="L94" s="3" t="s">
        <v>326</v>
      </c>
      <c r="M94" s="21" t="s">
        <v>349</v>
      </c>
      <c r="N94" s="22"/>
      <c r="O94" s="22"/>
      <c r="P94" s="22"/>
      <c r="Q94" s="23"/>
      <c r="R94" s="23"/>
      <c r="S94" s="22"/>
      <c r="T94" s="2"/>
      <c r="U94"/>
      <c r="V94"/>
      <c r="W94"/>
      <c r="X94"/>
      <c r="Y94" s="32"/>
      <c r="AB94" s="12"/>
      <c r="AD94" s="12"/>
      <c r="AE94" s="12"/>
      <c r="AF94" s="12"/>
      <c r="AG94" s="12"/>
      <c r="AH94" s="12"/>
      <c r="AI94" s="12"/>
    </row>
    <row r="95" spans="1:35" s="10" customFormat="1" x14ac:dyDescent="0.25">
      <c r="A95" s="32"/>
      <c r="B95" s="32"/>
      <c r="C95" s="32"/>
      <c r="D95" s="36"/>
      <c r="I95" s="31">
        <f t="shared" si="7"/>
        <v>6</v>
      </c>
      <c r="K95" s="10">
        <f xml:space="preserve"> IFERROR("0x" &amp; DEC2HEX(VLOOKUP(F95,Common!$C$10:$D$34,2,FALSE),2) &amp; DEC2HEX(I95,3) &amp; DEC2HEX(VLOOKUP(G95,Common!$C$51:$D$55,2,FALSE),1) &amp; DEC2HEX(1+2*VLOOKUP(H95,Common!$C$69:$D$72,2,FALSE),1) &amp; DEC2HEX(IFERROR(LOG(J95,2),0),1),0)</f>
        <v>0</v>
      </c>
      <c r="L95" s="3" t="s">
        <v>327</v>
      </c>
      <c r="M95" s="21" t="s">
        <v>350</v>
      </c>
      <c r="T95" s="2"/>
      <c r="W95"/>
      <c r="X95"/>
      <c r="Y95" s="32"/>
      <c r="AB95" s="12"/>
      <c r="AD95" s="12"/>
      <c r="AE95" s="12"/>
      <c r="AF95" s="12"/>
      <c r="AG95" s="12"/>
      <c r="AH95" s="12"/>
      <c r="AI95" s="12"/>
    </row>
    <row r="96" spans="1:35" s="10" customFormat="1" x14ac:dyDescent="0.25">
      <c r="A96" s="32"/>
      <c r="B96" s="32"/>
      <c r="C96" s="32"/>
      <c r="D96" s="36"/>
      <c r="E96" s="24"/>
      <c r="F96" s="23"/>
      <c r="G96" s="23"/>
      <c r="H96" s="26"/>
      <c r="I96" s="31">
        <f t="shared" si="7"/>
        <v>6</v>
      </c>
      <c r="J96" s="22"/>
      <c r="K96" s="10">
        <f xml:space="preserve"> IFERROR("0x" &amp; DEC2HEX(VLOOKUP(F96,Common!$C$10:$D$34,2,FALSE),2) &amp; DEC2HEX(I96,3) &amp; DEC2HEX(VLOOKUP(G96,Common!$C$51:$D$55,2,FALSE),1) &amp; DEC2HEX(1+2*VLOOKUP(H96,Common!$C$69:$D$72,2,FALSE),1) &amp; DEC2HEX(IFERROR(LOG(J96,2),0),1),0)</f>
        <v>0</v>
      </c>
      <c r="L96" s="3" t="s">
        <v>328</v>
      </c>
      <c r="M96" s="21" t="s">
        <v>351</v>
      </c>
      <c r="N96" s="22"/>
      <c r="O96" s="22"/>
      <c r="P96" s="22"/>
      <c r="Q96" s="23"/>
      <c r="R96" s="23"/>
      <c r="S96" s="22"/>
      <c r="T96" s="2"/>
      <c r="U96"/>
      <c r="V96"/>
      <c r="W96"/>
      <c r="X96"/>
      <c r="Y96"/>
      <c r="AB96" s="12"/>
      <c r="AD96" s="12"/>
      <c r="AE96" s="12"/>
      <c r="AF96" s="12"/>
      <c r="AG96" s="12"/>
      <c r="AH96" s="12"/>
      <c r="AI96" s="12"/>
    </row>
    <row r="97" spans="1:35" s="10" customFormat="1" x14ac:dyDescent="0.25">
      <c r="A97" s="32"/>
      <c r="B97" s="32"/>
      <c r="C97" s="32"/>
      <c r="D97" s="36"/>
      <c r="E97" s="24"/>
      <c r="F97" s="23"/>
      <c r="G97" s="23"/>
      <c r="H97" s="26"/>
      <c r="I97" s="31">
        <f t="shared" si="7"/>
        <v>6</v>
      </c>
      <c r="J97" s="22"/>
      <c r="K97" s="10">
        <f xml:space="preserve"> IFERROR("0x" &amp; DEC2HEX(VLOOKUP(F97,Common!$C$10:$D$34,2,FALSE),2) &amp; DEC2HEX(I97,3) &amp; DEC2HEX(VLOOKUP(G97,Common!$C$51:$D$55,2,FALSE),1) &amp; DEC2HEX(1+2*VLOOKUP(H97,Common!$C$69:$D$72,2,FALSE),1) &amp; DEC2HEX(IFERROR(LOG(J97,2),0),1),0)</f>
        <v>0</v>
      </c>
      <c r="L97" s="3" t="s">
        <v>329</v>
      </c>
      <c r="M97" s="21" t="s">
        <v>352</v>
      </c>
      <c r="N97" s="22"/>
      <c r="O97" s="22"/>
      <c r="P97" s="22"/>
      <c r="Q97" s="23"/>
      <c r="R97" s="23"/>
      <c r="S97" s="22"/>
      <c r="T97" s="2"/>
      <c r="U97"/>
      <c r="V97"/>
      <c r="W97"/>
      <c r="X97"/>
      <c r="Y97" s="32"/>
      <c r="AB97" s="12"/>
      <c r="AD97" s="12"/>
      <c r="AE97" s="12"/>
      <c r="AF97" s="12"/>
      <c r="AG97" s="12"/>
      <c r="AH97" s="12"/>
      <c r="AI97" s="12"/>
    </row>
    <row r="98" spans="1:35" s="10" customFormat="1" x14ac:dyDescent="0.25">
      <c r="E98" s="2" t="s">
        <v>303</v>
      </c>
      <c r="F98" s="3" t="s">
        <v>183</v>
      </c>
      <c r="G98" s="3" t="s">
        <v>111</v>
      </c>
      <c r="H98" s="3" t="s">
        <v>47</v>
      </c>
      <c r="I98" s="31">
        <f t="shared" si="7"/>
        <v>6</v>
      </c>
      <c r="J98" s="10">
        <v>1</v>
      </c>
      <c r="K98" s="10" t="str">
        <f xml:space="preserve"> IFERROR("0x" &amp; DEC2HEX(VLOOKUP(F98,Common!$C$10:$D$34,2,FALSE),2) &amp; DEC2HEX(I98,3) &amp; DEC2HEX(VLOOKUP(G98,Common!$C$51:$D$55,2,FALSE),1) &amp; DEC2HEX(1+2*VLOOKUP(H98,Common!$C$69:$D$72,2,FALSE),1) &amp; DEC2HEX(IFERROR(LOG(J98,2),0),1),0)</f>
        <v>0x05006550</v>
      </c>
      <c r="L98" s="3" t="s">
        <v>305</v>
      </c>
      <c r="M98" s="2" t="s">
        <v>358</v>
      </c>
      <c r="N98" s="10">
        <v>3</v>
      </c>
      <c r="O98" s="10">
        <v>0</v>
      </c>
      <c r="P98" s="10">
        <v>7</v>
      </c>
      <c r="T98" s="2" t="s">
        <v>359</v>
      </c>
      <c r="U98"/>
      <c r="V98"/>
      <c r="W98"/>
      <c r="X98"/>
      <c r="AB98" s="12"/>
      <c r="AD98" s="12"/>
      <c r="AE98" s="12"/>
      <c r="AF98" s="12"/>
      <c r="AG98" s="12"/>
      <c r="AH98" s="12"/>
      <c r="AI98" s="12"/>
    </row>
    <row r="99" spans="1:35" s="10" customFormat="1" x14ac:dyDescent="0.25">
      <c r="A99" s="12"/>
      <c r="B99" s="12"/>
      <c r="C99" s="12"/>
      <c r="D99"/>
      <c r="I99" s="31">
        <f t="shared" si="7"/>
        <v>7</v>
      </c>
      <c r="K99" s="10">
        <f xml:space="preserve"> IFERROR("0x" &amp; DEC2HEX(VLOOKUP(F99,Common!$C$10:$D$34,2,FALSE),2) &amp; DEC2HEX(I99,3) &amp; DEC2HEX(VLOOKUP(G99,Common!$C$51:$D$55,2,FALSE),1) &amp; DEC2HEX(1+2*VLOOKUP(H99,Common!$C$69:$D$72,2,FALSE),1) &amp; DEC2HEX(IFERROR(LOG(J99,2),0),1),0)</f>
        <v>0</v>
      </c>
      <c r="L99" s="3" t="s">
        <v>330</v>
      </c>
      <c r="M99" t="s">
        <v>340</v>
      </c>
      <c r="T99" s="2"/>
      <c r="AB99" s="12"/>
      <c r="AD99" s="12"/>
      <c r="AE99" s="12"/>
      <c r="AF99" s="12"/>
      <c r="AG99" s="12"/>
      <c r="AH99" s="12"/>
      <c r="AI99" s="12"/>
    </row>
    <row r="100" spans="1:35" s="10" customFormat="1" x14ac:dyDescent="0.25">
      <c r="A100" s="12"/>
      <c r="B100" s="12"/>
      <c r="C100" s="12"/>
      <c r="D100"/>
      <c r="E100" s="24"/>
      <c r="F100" s="23"/>
      <c r="G100" s="23"/>
      <c r="H100" s="26"/>
      <c r="I100" s="31">
        <f t="shared" si="7"/>
        <v>7</v>
      </c>
      <c r="J100" s="22"/>
      <c r="K100" s="10">
        <f xml:space="preserve"> IFERROR("0x" &amp; DEC2HEX(VLOOKUP(F100,Common!$C$10:$D$34,2,FALSE),2) &amp; DEC2HEX(I100,3) &amp; DEC2HEX(VLOOKUP(G100,Common!$C$51:$D$55,2,FALSE),1) &amp; DEC2HEX(1+2*VLOOKUP(H100,Common!$C$69:$D$72,2,FALSE),1) &amp; DEC2HEX(IFERROR(LOG(J100,2),0),1),0)</f>
        <v>0</v>
      </c>
      <c r="L100" s="3" t="s">
        <v>331</v>
      </c>
      <c r="M100" t="s">
        <v>353</v>
      </c>
      <c r="N100" s="22"/>
      <c r="O100" s="22"/>
      <c r="P100" s="22"/>
      <c r="Q100" s="23"/>
      <c r="R100" s="23"/>
      <c r="S100" s="22"/>
      <c r="T100" s="2"/>
      <c r="Y100" s="32"/>
      <c r="AB100" s="12"/>
      <c r="AD100" s="12"/>
      <c r="AE100" s="12"/>
      <c r="AF100" s="12"/>
      <c r="AG100" s="12"/>
      <c r="AH100" s="12"/>
      <c r="AI100" s="12"/>
    </row>
    <row r="101" spans="1:35" s="10" customFormat="1" x14ac:dyDescent="0.25">
      <c r="A101" s="32"/>
      <c r="B101" s="32"/>
      <c r="C101" s="32"/>
      <c r="D101" s="36"/>
      <c r="E101" s="24"/>
      <c r="F101" s="23"/>
      <c r="G101" s="23"/>
      <c r="H101" s="26"/>
      <c r="I101" s="31">
        <f t="shared" si="7"/>
        <v>7</v>
      </c>
      <c r="J101" s="22"/>
      <c r="K101" s="10">
        <f xml:space="preserve"> IFERROR("0x" &amp; DEC2HEX(VLOOKUP(F101,Common!$C$10:$D$34,2,FALSE),2) &amp; DEC2HEX(I101,3) &amp; DEC2HEX(VLOOKUP(G101,Common!$C$51:$D$55,2,FALSE),1) &amp; DEC2HEX(1+2*VLOOKUP(H101,Common!$C$69:$D$72,2,FALSE),1) &amp; DEC2HEX(IFERROR(LOG(J101,2),0),1),0)</f>
        <v>0</v>
      </c>
      <c r="L101" s="3" t="s">
        <v>332</v>
      </c>
      <c r="M101" t="s">
        <v>354</v>
      </c>
      <c r="N101" s="22"/>
      <c r="O101" s="22"/>
      <c r="P101" s="22"/>
      <c r="Q101" s="23"/>
      <c r="R101" s="23"/>
      <c r="S101" s="22"/>
      <c r="T101" s="2"/>
      <c r="AB101" s="12"/>
      <c r="AD101" s="12"/>
      <c r="AE101" s="12"/>
      <c r="AF101" s="12"/>
      <c r="AG101" s="12"/>
      <c r="AH101" s="12"/>
      <c r="AI101" s="12"/>
    </row>
    <row r="102" spans="1:35" s="10" customFormat="1" x14ac:dyDescent="0.25">
      <c r="A102" s="12"/>
      <c r="B102" s="12"/>
      <c r="C102" s="12"/>
      <c r="D102"/>
      <c r="E102" s="24"/>
      <c r="F102" s="23"/>
      <c r="G102" s="23"/>
      <c r="H102" s="26"/>
      <c r="I102" s="31">
        <f t="shared" si="7"/>
        <v>7</v>
      </c>
      <c r="J102" s="22"/>
      <c r="K102" s="10">
        <f xml:space="preserve"> IFERROR("0x" &amp; DEC2HEX(VLOOKUP(F102,Common!$C$10:$D$34,2,FALSE),2) &amp; DEC2HEX(I102,3) &amp; DEC2HEX(VLOOKUP(G102,Common!$C$51:$D$55,2,FALSE),1) &amp; DEC2HEX(1+2*VLOOKUP(H102,Common!$C$69:$D$72,2,FALSE),1) &amp; DEC2HEX(IFERROR(LOG(J102,2),0),1),0)</f>
        <v>0</v>
      </c>
      <c r="L102" s="3" t="s">
        <v>333</v>
      </c>
      <c r="M102" s="21" t="s">
        <v>341</v>
      </c>
      <c r="N102" s="22"/>
      <c r="O102" s="22"/>
      <c r="P102" s="22"/>
      <c r="Q102" s="23"/>
      <c r="R102" s="23"/>
      <c r="S102" s="22"/>
      <c r="T102" s="2"/>
      <c r="AB102" s="12"/>
      <c r="AC102" s="12"/>
      <c r="AD102" s="12"/>
      <c r="AE102" s="12"/>
      <c r="AF102" s="12"/>
      <c r="AG102" s="12"/>
      <c r="AH102" s="12"/>
      <c r="AI102" s="12"/>
    </row>
    <row r="103" spans="1:35" s="10" customFormat="1" x14ac:dyDescent="0.25">
      <c r="A103" s="12"/>
      <c r="B103" s="12"/>
      <c r="C103" s="12"/>
      <c r="D103"/>
      <c r="E103" s="24"/>
      <c r="F103" s="23"/>
      <c r="G103" s="23"/>
      <c r="H103" s="26"/>
      <c r="I103" s="31">
        <f t="shared" si="7"/>
        <v>7</v>
      </c>
      <c r="J103" s="22"/>
      <c r="K103" s="10">
        <f xml:space="preserve"> IFERROR("0x" &amp; DEC2HEX(VLOOKUP(F103,Common!$C$10:$D$34,2,FALSE),2) &amp; DEC2HEX(I103,3) &amp; DEC2HEX(VLOOKUP(G103,Common!$C$51:$D$55,2,FALSE),1) &amp; DEC2HEX(1+2*VLOOKUP(H103,Common!$C$69:$D$72,2,FALSE),1) &amp; DEC2HEX(IFERROR(LOG(J103,2),0),1),0)</f>
        <v>0</v>
      </c>
      <c r="L103" s="3" t="s">
        <v>334</v>
      </c>
      <c r="M103" s="21" t="s">
        <v>342</v>
      </c>
      <c r="N103" s="22"/>
      <c r="O103" s="22"/>
      <c r="P103" s="22"/>
      <c r="Q103" s="23"/>
      <c r="R103" s="23"/>
      <c r="S103" s="22"/>
      <c r="T103" s="2"/>
      <c r="AD103" s="12"/>
      <c r="AE103" s="12"/>
      <c r="AF103" s="12"/>
      <c r="AG103" s="12"/>
      <c r="AH103" s="12"/>
      <c r="AI103" s="12"/>
    </row>
    <row r="104" spans="1:35" s="10" customFormat="1" x14ac:dyDescent="0.25">
      <c r="A104" s="12"/>
      <c r="B104" s="12"/>
      <c r="C104" s="12"/>
      <c r="D104"/>
      <c r="I104" s="31">
        <f t="shared" si="7"/>
        <v>7</v>
      </c>
      <c r="K104" s="10">
        <f xml:space="preserve"> IFERROR("0x" &amp; DEC2HEX(VLOOKUP(F104,Common!$C$10:$D$34,2,FALSE),2) &amp; DEC2HEX(I104,3) &amp; DEC2HEX(VLOOKUP(G104,Common!$C$51:$D$55,2,FALSE),1) &amp; DEC2HEX(1+2*VLOOKUP(H104,Common!$C$69:$D$72,2,FALSE),1) &amp; DEC2HEX(IFERROR(LOG(J104,2),0),1),0)</f>
        <v>0</v>
      </c>
      <c r="L104" s="3" t="s">
        <v>335</v>
      </c>
      <c r="M104" s="21" t="s">
        <v>343</v>
      </c>
      <c r="T104" s="2"/>
      <c r="U104"/>
      <c r="V104"/>
      <c r="W104"/>
      <c r="X104"/>
      <c r="AD104" s="12"/>
      <c r="AE104" s="12"/>
      <c r="AF104" s="12"/>
      <c r="AG104" s="12"/>
      <c r="AH104" s="12"/>
      <c r="AI104" s="12"/>
    </row>
    <row r="105" spans="1:35" s="10" customFormat="1" x14ac:dyDescent="0.25">
      <c r="A105" s="12"/>
      <c r="B105" s="12"/>
      <c r="C105" s="12"/>
      <c r="D105"/>
      <c r="E105" s="24"/>
      <c r="F105" s="23"/>
      <c r="G105" s="23"/>
      <c r="H105" s="26"/>
      <c r="I105" s="31">
        <f t="shared" si="7"/>
        <v>7</v>
      </c>
      <c r="J105" s="22"/>
      <c r="K105" s="10">
        <f xml:space="preserve"> IFERROR("0x" &amp; DEC2HEX(VLOOKUP(F105,Common!$C$10:$D$34,2,FALSE),2) &amp; DEC2HEX(I105,3) &amp; DEC2HEX(VLOOKUP(G105,Common!$C$51:$D$55,2,FALSE),1) &amp; DEC2HEX(1+2*VLOOKUP(H105,Common!$C$69:$D$72,2,FALSE),1) &amp; DEC2HEX(IFERROR(LOG(J105,2),0),1),0)</f>
        <v>0</v>
      </c>
      <c r="L105" s="3" t="s">
        <v>336</v>
      </c>
      <c r="M105" s="21" t="s">
        <v>344</v>
      </c>
      <c r="N105" s="22"/>
      <c r="O105" s="22"/>
      <c r="P105" s="22"/>
      <c r="Q105" s="23"/>
      <c r="R105" s="23"/>
      <c r="S105" s="22"/>
      <c r="T105" s="2"/>
      <c r="U105"/>
      <c r="V105"/>
      <c r="W105"/>
      <c r="X105"/>
      <c r="AD105" s="12"/>
      <c r="AE105" s="12"/>
      <c r="AF105" s="12"/>
      <c r="AG105" s="12"/>
      <c r="AH105" s="12"/>
      <c r="AI105" s="12"/>
    </row>
    <row r="106" spans="1:35" s="10" customFormat="1" x14ac:dyDescent="0.25">
      <c r="A106" s="12"/>
      <c r="B106" s="12"/>
      <c r="C106" s="12"/>
      <c r="D106"/>
      <c r="E106" s="24"/>
      <c r="F106" s="23"/>
      <c r="G106" s="23"/>
      <c r="H106" s="26"/>
      <c r="I106" s="31">
        <f t="shared" si="7"/>
        <v>7</v>
      </c>
      <c r="J106" s="22"/>
      <c r="K106" s="10">
        <f xml:space="preserve"> IFERROR("0x" &amp; DEC2HEX(VLOOKUP(F106,Common!$C$10:$D$34,2,FALSE),2) &amp; DEC2HEX(I106,3) &amp; DEC2HEX(VLOOKUP(G106,Common!$C$51:$D$55,2,FALSE),1) &amp; DEC2HEX(1+2*VLOOKUP(H106,Common!$C$69:$D$72,2,FALSE),1) &amp; DEC2HEX(IFERROR(LOG(J106,2),0),1),0)</f>
        <v>0</v>
      </c>
      <c r="L106" s="3" t="s">
        <v>337</v>
      </c>
      <c r="M106" s="21" t="s">
        <v>345</v>
      </c>
      <c r="N106" s="22"/>
      <c r="O106" s="22"/>
      <c r="P106" s="22"/>
      <c r="Q106" s="23"/>
      <c r="R106" s="23"/>
      <c r="S106" s="22"/>
      <c r="T106" s="2"/>
      <c r="U106"/>
      <c r="V106"/>
      <c r="W106"/>
      <c r="X106"/>
      <c r="AD106" s="12"/>
      <c r="AE106" s="12"/>
      <c r="AF106" s="12"/>
      <c r="AG106" s="12"/>
      <c r="AH106" s="12"/>
      <c r="AI106" s="12"/>
    </row>
    <row r="107" spans="1:35" s="10" customFormat="1" x14ac:dyDescent="0.25">
      <c r="E107" s="2" t="s">
        <v>338</v>
      </c>
      <c r="F107" s="3" t="s">
        <v>183</v>
      </c>
      <c r="G107" s="3" t="s">
        <v>45</v>
      </c>
      <c r="H107" s="3" t="s">
        <v>47</v>
      </c>
      <c r="I107" s="31">
        <f t="shared" si="7"/>
        <v>7</v>
      </c>
      <c r="J107" s="10">
        <v>1</v>
      </c>
      <c r="K107" s="10" t="str">
        <f xml:space="preserve"> IFERROR("0x" &amp; DEC2HEX(VLOOKUP(F107,Common!$C$10:$D$34,2,FALSE),2) &amp; DEC2HEX(I107,3) &amp; DEC2HEX(VLOOKUP(G107,Common!$C$51:$D$55,2,FALSE),1) &amp; DEC2HEX(1+2*VLOOKUP(H107,Common!$C$69:$D$72,2,FALSE),1) &amp; DEC2HEX(IFERROR(LOG(J107,2),0),1),0)</f>
        <v>0x05007150</v>
      </c>
      <c r="L107" s="3" t="str">
        <f t="shared" ref="L107:L113" si="8">IF(AND(LEN(E107)&lt;&gt;0,S67=""),F107&amp;"_"&amp;UPPER(E107),"")</f>
        <v>RTD_EXP_BOARD_INIT</v>
      </c>
      <c r="M107" s="2" t="s">
        <v>357</v>
      </c>
      <c r="N107" s="10">
        <v>0</v>
      </c>
      <c r="O107" s="10">
        <v>0</v>
      </c>
      <c r="P107" s="10">
        <v>1</v>
      </c>
      <c r="T107" s="2" t="s">
        <v>356</v>
      </c>
      <c r="AD107" s="12"/>
      <c r="AE107" s="12"/>
      <c r="AF107" s="12"/>
      <c r="AG107" s="12"/>
      <c r="AH107" s="12"/>
      <c r="AI107" s="12"/>
    </row>
    <row r="108" spans="1:35" s="10" customFormat="1" x14ac:dyDescent="0.25">
      <c r="A108" s="12"/>
      <c r="B108" s="12"/>
      <c r="C108" s="12"/>
      <c r="D108"/>
      <c r="E108" t="s">
        <v>242</v>
      </c>
      <c r="F108" s="3" t="s">
        <v>183</v>
      </c>
      <c r="G108" s="3" t="s">
        <v>45</v>
      </c>
      <c r="H108" s="3" t="s">
        <v>47</v>
      </c>
      <c r="I108" s="31">
        <f t="shared" si="7"/>
        <v>8</v>
      </c>
      <c r="J108" s="28">
        <v>2</v>
      </c>
      <c r="K108" s="10" t="str">
        <f xml:space="preserve"> IFERROR("0x" &amp; DEC2HEX(VLOOKUP(F108,Common!$C$10:$D$34,2,FALSE),2) &amp; DEC2HEX(I108,3) &amp; DEC2HEX(VLOOKUP(G108,Common!$C$51:$D$55,2,FALSE),1) &amp; DEC2HEX(1+2*VLOOKUP(H108,Common!$C$69:$D$72,2,FALSE),1) &amp; DEC2HEX(IFERROR(LOG(J108,2),0),1),0)</f>
        <v>0x05008151</v>
      </c>
      <c r="L108" s="3" t="str">
        <f t="shared" si="8"/>
        <v>RTD_NTC_BETA</v>
      </c>
      <c r="M108" t="s">
        <v>243</v>
      </c>
      <c r="N108" s="28">
        <v>3977</v>
      </c>
      <c r="O108" s="28">
        <v>3000</v>
      </c>
      <c r="P108" s="28">
        <v>5500</v>
      </c>
      <c r="Q108" s="28"/>
      <c r="R108" s="28"/>
      <c r="S108" s="28"/>
      <c r="T108" s="2" t="s">
        <v>244</v>
      </c>
      <c r="AC108" s="12"/>
      <c r="AD108" s="12"/>
      <c r="AE108" s="12"/>
      <c r="AF108" s="12"/>
      <c r="AG108" s="12"/>
      <c r="AH108" s="12"/>
      <c r="AI108" s="12"/>
    </row>
    <row r="109" spans="1:35" s="10" customFormat="1" ht="13.5" customHeight="1" x14ac:dyDescent="0.25">
      <c r="A109" s="12"/>
      <c r="B109" s="12"/>
      <c r="C109" s="12"/>
      <c r="D109"/>
      <c r="E109" t="s">
        <v>245</v>
      </c>
      <c r="F109" s="3" t="s">
        <v>183</v>
      </c>
      <c r="G109" s="3" t="s">
        <v>45</v>
      </c>
      <c r="H109" s="3" t="s">
        <v>47</v>
      </c>
      <c r="I109" s="31">
        <f t="shared" si="7"/>
        <v>10</v>
      </c>
      <c r="J109" s="28">
        <v>2</v>
      </c>
      <c r="K109" s="10" t="str">
        <f xml:space="preserve"> IFERROR("0x" &amp; DEC2HEX(VLOOKUP(F109,Common!$C$10:$D$34,2,FALSE),2) &amp; DEC2HEX(I109,3) &amp; DEC2HEX(VLOOKUP(G109,Common!$C$51:$D$55,2,FALSE),1) &amp; DEC2HEX(1+2*VLOOKUP(H109,Common!$C$69:$D$72,2,FALSE),1) &amp; DEC2HEX(IFERROR(LOG(J109,2),0),1),0)</f>
        <v>0x0500A151</v>
      </c>
      <c r="L109" s="3" t="str">
        <f t="shared" si="8"/>
        <v>RTD_NTC_STOCK_RES</v>
      </c>
      <c r="M109" t="s">
        <v>246</v>
      </c>
      <c r="N109" s="28">
        <v>10000</v>
      </c>
      <c r="O109" s="28">
        <v>1000</v>
      </c>
      <c r="P109" s="28">
        <v>10000</v>
      </c>
      <c r="Q109" s="3" t="s">
        <v>241</v>
      </c>
      <c r="R109" s="28"/>
      <c r="S109" s="28"/>
      <c r="T109" s="2" t="s">
        <v>294</v>
      </c>
      <c r="U109" s="32"/>
      <c r="V109" s="32"/>
      <c r="W109" s="32"/>
      <c r="AB109" s="12"/>
      <c r="AC109" s="12"/>
      <c r="AD109" s="12"/>
      <c r="AE109" s="12"/>
      <c r="AF109" s="12"/>
      <c r="AG109" s="12"/>
      <c r="AH109" s="12"/>
      <c r="AI109" s="12"/>
    </row>
    <row r="110" spans="1:35" s="10" customFormat="1" ht="15.75" customHeight="1" x14ac:dyDescent="0.25">
      <c r="A110" s="12"/>
      <c r="B110" s="12"/>
      <c r="C110" s="12"/>
      <c r="D110"/>
      <c r="E110" t="s">
        <v>247</v>
      </c>
      <c r="F110" s="3" t="s">
        <v>183</v>
      </c>
      <c r="G110" s="3" t="s">
        <v>45</v>
      </c>
      <c r="H110" s="3" t="s">
        <v>47</v>
      </c>
      <c r="I110" s="31">
        <f t="shared" si="7"/>
        <v>12</v>
      </c>
      <c r="J110" s="28">
        <v>2</v>
      </c>
      <c r="K110" s="10" t="str">
        <f xml:space="preserve"> IFERROR("0x" &amp; DEC2HEX(VLOOKUP(F110,Common!$C$10:$D$34,2,FALSE),2) &amp; DEC2HEX(I110,3) &amp; DEC2HEX(VLOOKUP(G110,Common!$C$51:$D$55,2,FALSE),1) &amp; DEC2HEX(1+2*VLOOKUP(H110,Common!$C$69:$D$72,2,FALSE),1) &amp; DEC2HEX(IFERROR(LOG(J110,2),0),1),0)</f>
        <v>0x0500C151</v>
      </c>
      <c r="L110" s="3" t="str">
        <f t="shared" si="8"/>
        <v>RTD_PT_STOCK_RES</v>
      </c>
      <c r="M110" t="s">
        <v>248</v>
      </c>
      <c r="N110" s="28">
        <v>1000</v>
      </c>
      <c r="O110" s="28">
        <v>100</v>
      </c>
      <c r="P110" s="28">
        <v>1000</v>
      </c>
      <c r="Q110" s="3" t="s">
        <v>241</v>
      </c>
      <c r="R110" s="28"/>
      <c r="S110" s="32"/>
      <c r="T110" s="2" t="s">
        <v>293</v>
      </c>
      <c r="AB110" s="12"/>
      <c r="AC110" s="12"/>
      <c r="AD110" s="12"/>
      <c r="AE110" s="12"/>
      <c r="AF110" s="12"/>
      <c r="AG110" s="12"/>
      <c r="AH110" s="12"/>
      <c r="AI110" s="12"/>
    </row>
    <row r="111" spans="1:35" s="10" customFormat="1" x14ac:dyDescent="0.25">
      <c r="A111" s="12"/>
      <c r="B111" s="12"/>
      <c r="C111" s="12"/>
      <c r="D111"/>
      <c r="E111" t="s">
        <v>257</v>
      </c>
      <c r="F111" s="3" t="s">
        <v>183</v>
      </c>
      <c r="G111" s="3" t="s">
        <v>45</v>
      </c>
      <c r="H111" s="3" t="s">
        <v>47</v>
      </c>
      <c r="I111" s="31">
        <f t="shared" si="7"/>
        <v>14</v>
      </c>
      <c r="J111" s="28">
        <v>4</v>
      </c>
      <c r="K111" s="10" t="str">
        <f xml:space="preserve"> IFERROR("0x" &amp; DEC2HEX(VLOOKUP(F111,Common!$C$10:$D$34,2,FALSE),2) &amp; DEC2HEX(I111,3) &amp; DEC2HEX(VLOOKUP(G111,Common!$C$51:$D$55,2,FALSE),1) &amp; DEC2HEX(1+2*VLOOKUP(H111,Common!$C$69:$D$72,2,FALSE),1) &amp; DEC2HEX(IFERROR(LOG(J111,2),0),1),0)</f>
        <v>0x0500E152</v>
      </c>
      <c r="L111" s="3" t="str">
        <f t="shared" si="8"/>
        <v>RTD_RESISTANCE</v>
      </c>
      <c r="M111" t="s">
        <v>259</v>
      </c>
      <c r="N111" s="28">
        <v>10000</v>
      </c>
      <c r="O111" s="3">
        <v>10</v>
      </c>
      <c r="P111" s="28">
        <v>290000</v>
      </c>
      <c r="Q111" s="3" t="s">
        <v>241</v>
      </c>
      <c r="R111" s="3"/>
      <c r="S111" s="32"/>
      <c r="T111" s="2" t="s">
        <v>298</v>
      </c>
      <c r="AB111" s="12"/>
      <c r="AC111" s="12"/>
      <c r="AD111" s="12"/>
      <c r="AE111" s="12"/>
      <c r="AF111" s="12"/>
      <c r="AG111" s="12"/>
      <c r="AH111" s="12"/>
      <c r="AI111" s="12"/>
    </row>
    <row r="112" spans="1:35" s="10" customFormat="1" x14ac:dyDescent="0.25">
      <c r="A112" s="12"/>
      <c r="B112" s="12"/>
      <c r="C112" s="12"/>
      <c r="D112"/>
      <c r="E112" t="s">
        <v>258</v>
      </c>
      <c r="F112" s="3" t="s">
        <v>183</v>
      </c>
      <c r="G112" s="3" t="s">
        <v>46</v>
      </c>
      <c r="H112" s="3" t="s">
        <v>47</v>
      </c>
      <c r="I112" s="31">
        <f t="shared" si="7"/>
        <v>18</v>
      </c>
      <c r="J112" s="28">
        <v>4</v>
      </c>
      <c r="K112" s="10" t="str">
        <f xml:space="preserve"> IFERROR("0x" &amp; DEC2HEX(VLOOKUP(F112,Common!$C$10:$D$34,2,FALSE),2) &amp; DEC2HEX(I112,3) &amp; DEC2HEX(VLOOKUP(G112,Common!$C$51:$D$55,2,FALSE),1) &amp; DEC2HEX(1+2*VLOOKUP(H112,Common!$C$69:$D$72,2,FALSE),1) &amp; DEC2HEX(IFERROR(LOG(J112,2),0),1),0)</f>
        <v>0x05012252</v>
      </c>
      <c r="L112" s="3" t="str">
        <f t="shared" si="8"/>
        <v>RTD_TEMPERATURE</v>
      </c>
      <c r="M112" t="s">
        <v>260</v>
      </c>
      <c r="N112" s="28">
        <v>25</v>
      </c>
      <c r="O112" s="3">
        <v>-30</v>
      </c>
      <c r="P112" s="28">
        <v>200</v>
      </c>
      <c r="Q112" s="3" t="s">
        <v>288</v>
      </c>
      <c r="R112" s="3"/>
      <c r="S112" s="32"/>
      <c r="T112" s="2" t="s">
        <v>299</v>
      </c>
      <c r="AA112" s="12"/>
      <c r="AB112" s="12"/>
      <c r="AC112" s="12"/>
      <c r="AD112" s="12"/>
      <c r="AE112" s="12"/>
      <c r="AF112" s="12"/>
      <c r="AG112" s="12"/>
      <c r="AH112" s="12"/>
      <c r="AI112" s="12"/>
    </row>
    <row r="113" spans="1:35" s="10" customFormat="1" x14ac:dyDescent="0.25">
      <c r="A113" s="12"/>
      <c r="B113" s="12"/>
      <c r="C113" s="12"/>
      <c r="D113"/>
      <c r="E113" s="24" t="s">
        <v>276</v>
      </c>
      <c r="F113" s="3" t="s">
        <v>183</v>
      </c>
      <c r="G113" s="3" t="s">
        <v>111</v>
      </c>
      <c r="H113" s="3" t="s">
        <v>47</v>
      </c>
      <c r="I113" s="31">
        <f t="shared" si="7"/>
        <v>22</v>
      </c>
      <c r="J113" s="3">
        <v>1</v>
      </c>
      <c r="K113" s="10" t="str">
        <f xml:space="preserve"> IFERROR("0x" &amp; DEC2HEX(VLOOKUP(F113,Common!$C$10:$D$34,2,FALSE),2) &amp; DEC2HEX(I113,3) &amp; DEC2HEX(VLOOKUP(G113,Common!$C$51:$D$55,2,FALSE),1) &amp; DEC2HEX(1+2*VLOOKUP(H113,Common!$C$69:$D$72,2,FALSE),1) &amp; DEC2HEX(IFERROR(LOG(J113,2),0),1),0)</f>
        <v>0x05016550</v>
      </c>
      <c r="L113" s="3" t="str">
        <f t="shared" si="8"/>
        <v>RTD_SLEWRATE_MODE</v>
      </c>
      <c r="M113" s="32" t="s">
        <v>279</v>
      </c>
      <c r="N113" s="22">
        <v>0</v>
      </c>
      <c r="O113" s="22">
        <v>0</v>
      </c>
      <c r="P113" s="22">
        <v>1</v>
      </c>
      <c r="Q113" s="3"/>
      <c r="R113" s="23"/>
      <c r="S113" s="22"/>
      <c r="T113" s="2" t="s">
        <v>292</v>
      </c>
      <c r="X113" s="32"/>
      <c r="Y113" s="32"/>
      <c r="Z113" s="32"/>
      <c r="AA113" s="12"/>
      <c r="AB113" s="12"/>
      <c r="AC113" s="12"/>
      <c r="AD113" s="12"/>
      <c r="AE113" s="12"/>
      <c r="AF113" s="12"/>
      <c r="AG113" s="12"/>
      <c r="AH113" s="12"/>
      <c r="AI113" s="12"/>
    </row>
    <row r="114" spans="1:35" s="10" customFormat="1" x14ac:dyDescent="0.25">
      <c r="A114" s="12"/>
      <c r="B114" s="12"/>
      <c r="C114" s="12"/>
      <c r="D114"/>
      <c r="E114" s="32"/>
      <c r="F114" s="32"/>
      <c r="G114" s="32"/>
      <c r="H114" s="32"/>
      <c r="I114" s="31">
        <f t="shared" si="7"/>
        <v>23</v>
      </c>
      <c r="J114" s="32"/>
      <c r="K114" s="10">
        <f xml:space="preserve"> IFERROR("0x" &amp; DEC2HEX(VLOOKUP(F114,Common!$C$10:$D$34,2,FALSE),2) &amp; DEC2HEX(I114,3) &amp; DEC2HEX(VLOOKUP(G114,Common!$C$51:$D$55,2,FALSE),1) &amp; DEC2HEX(1+2*VLOOKUP(H114,Common!$C$69:$D$72,2,FALSE),1) &amp; DEC2HEX(IFERROR(LOG(J114,2),0),1),0)</f>
        <v>0</v>
      </c>
      <c r="L114" s="28" t="s">
        <v>277</v>
      </c>
      <c r="M114" s="21" t="s">
        <v>280</v>
      </c>
      <c r="N114" s="22"/>
      <c r="O114" s="22"/>
      <c r="P114" s="22"/>
      <c r="Q114" s="23"/>
      <c r="R114" s="23"/>
      <c r="S114" s="22"/>
      <c r="T114" s="2" t="s">
        <v>282</v>
      </c>
      <c r="AA114" s="12"/>
      <c r="AB114" s="12"/>
      <c r="AC114" s="12"/>
      <c r="AD114" s="12"/>
      <c r="AE114" s="12"/>
      <c r="AF114" s="12"/>
      <c r="AG114" s="12"/>
      <c r="AH114" s="12"/>
      <c r="AI114" s="12"/>
    </row>
    <row r="115" spans="1:35" s="10" customFormat="1" x14ac:dyDescent="0.25">
      <c r="A115" s="12"/>
      <c r="B115" s="12"/>
      <c r="C115" s="12"/>
      <c r="D115"/>
      <c r="I115" s="31">
        <f t="shared" si="7"/>
        <v>23</v>
      </c>
      <c r="K115" s="10">
        <f xml:space="preserve"> IFERROR("0x" &amp; DEC2HEX(VLOOKUP(F115,Common!$C$10:$D$34,2,FALSE),2) &amp; DEC2HEX(I115,3) &amp; DEC2HEX(VLOOKUP(G115,Common!$C$51:$D$55,2,FALSE),1) &amp; DEC2HEX(1+2*VLOOKUP(H115,Common!$C$69:$D$72,2,FALSE),1) &amp; DEC2HEX(IFERROR(LOG(J115,2),0),1),0)</f>
        <v>0</v>
      </c>
      <c r="L115" s="28" t="s">
        <v>278</v>
      </c>
      <c r="M115" s="2" t="s">
        <v>281</v>
      </c>
      <c r="T115" s="2" t="s">
        <v>283</v>
      </c>
      <c r="AA115" s="12"/>
      <c r="AB115" s="12"/>
      <c r="AC115" s="12"/>
      <c r="AD115" s="12"/>
      <c r="AE115" s="12"/>
      <c r="AF115" s="12"/>
      <c r="AG115" s="12"/>
      <c r="AH115" s="12"/>
      <c r="AI115" s="12"/>
    </row>
    <row r="116" spans="1:35" s="10" customFormat="1" x14ac:dyDescent="0.25">
      <c r="A116" s="12"/>
      <c r="B116" s="12"/>
      <c r="C116" s="12"/>
      <c r="D116"/>
      <c r="E116" s="24" t="s">
        <v>273</v>
      </c>
      <c r="F116" s="3" t="s">
        <v>183</v>
      </c>
      <c r="G116" s="23" t="s">
        <v>46</v>
      </c>
      <c r="H116" s="26" t="s">
        <v>47</v>
      </c>
      <c r="I116" s="31">
        <f t="shared" si="7"/>
        <v>23</v>
      </c>
      <c r="J116" s="28">
        <v>4</v>
      </c>
      <c r="K116" s="10" t="str">
        <f xml:space="preserve"> IFERROR("0x" &amp; DEC2HEX(VLOOKUP(F116,Common!$C$10:$D$34,2,FALSE),2) &amp; DEC2HEX(I116,3) &amp; DEC2HEX(VLOOKUP(G116,Common!$C$51:$D$55,2,FALSE),1) &amp; DEC2HEX(1+2*VLOOKUP(H116,Common!$C$69:$D$72,2,FALSE),1) &amp; DEC2HEX(IFERROR(LOG(J116,2),0),1),0)</f>
        <v>0x05017252</v>
      </c>
      <c r="L116" s="28" t="str">
        <f>IF(AND(LEN(E116)&lt;&gt;0,S113=""),F116&amp;"_"&amp;UPPER(E116),"")</f>
        <v>RTD_SLEWRATE</v>
      </c>
      <c r="M116" s="21" t="s">
        <v>284</v>
      </c>
      <c r="N116" s="3">
        <v>5</v>
      </c>
      <c r="O116" s="3">
        <v>0</v>
      </c>
      <c r="P116" s="3">
        <v>100</v>
      </c>
      <c r="Q116" s="5" t="s">
        <v>287</v>
      </c>
      <c r="R116" s="32"/>
      <c r="S116" s="32"/>
      <c r="T116" s="2" t="s">
        <v>291</v>
      </c>
      <c r="AA116" s="12"/>
      <c r="AB116" s="12"/>
      <c r="AC116" s="12"/>
      <c r="AD116" s="12"/>
      <c r="AE116" s="12"/>
      <c r="AF116" s="12"/>
      <c r="AG116" s="12"/>
      <c r="AH116" s="12"/>
      <c r="AI116" s="12"/>
    </row>
    <row r="117" spans="1:35" s="10" customFormat="1" x14ac:dyDescent="0.25">
      <c r="A117" s="12"/>
      <c r="B117" s="12"/>
      <c r="C117" s="12"/>
      <c r="D117"/>
      <c r="E117" s="24" t="s">
        <v>274</v>
      </c>
      <c r="F117" s="3" t="s">
        <v>183</v>
      </c>
      <c r="G117" s="23" t="s">
        <v>45</v>
      </c>
      <c r="H117" s="26" t="s">
        <v>47</v>
      </c>
      <c r="I117" s="31">
        <f t="shared" si="7"/>
        <v>27</v>
      </c>
      <c r="J117" s="22">
        <v>2</v>
      </c>
      <c r="K117" s="10" t="str">
        <f xml:space="preserve"> IFERROR("0x" &amp; DEC2HEX(VLOOKUP(F117,Common!$C$10:$D$34,2,FALSE),2) &amp; DEC2HEX(I117,3) &amp; DEC2HEX(VLOOKUP(G117,Common!$C$51:$D$55,2,FALSE),1) &amp; DEC2HEX(1+2*VLOOKUP(H117,Common!$C$69:$D$72,2,FALSE),1) &amp; DEC2HEX(IFERROR(LOG(J117,2),0),1),0)</f>
        <v>0x0501B151</v>
      </c>
      <c r="L117" s="28" t="str">
        <f>IF(AND(LEN(E117)&lt;&gt;0,S114=""),F117&amp;"_"&amp;UPPER(E117),"")</f>
        <v>RTD_SLEWRATE_MAX</v>
      </c>
      <c r="M117" s="32" t="s">
        <v>286</v>
      </c>
      <c r="N117" s="3">
        <v>50</v>
      </c>
      <c r="O117" s="10">
        <v>-30</v>
      </c>
      <c r="P117" s="10">
        <v>200</v>
      </c>
      <c r="Q117" s="5" t="s">
        <v>288</v>
      </c>
      <c r="T117" s="2" t="s">
        <v>289</v>
      </c>
      <c r="AA117" s="12"/>
      <c r="AB117" s="12"/>
      <c r="AC117" s="12"/>
      <c r="AD117" s="12"/>
      <c r="AE117" s="12"/>
      <c r="AF117" s="12"/>
      <c r="AG117" s="12"/>
      <c r="AH117" s="12"/>
      <c r="AI117" s="12"/>
    </row>
    <row r="118" spans="1:35" s="10" customFormat="1" x14ac:dyDescent="0.25">
      <c r="A118" s="12"/>
      <c r="B118" s="12"/>
      <c r="C118" s="12"/>
      <c r="D118"/>
      <c r="E118" s="24" t="s">
        <v>275</v>
      </c>
      <c r="F118" s="3" t="s">
        <v>183</v>
      </c>
      <c r="G118" s="3" t="s">
        <v>45</v>
      </c>
      <c r="H118" s="3" t="s">
        <v>47</v>
      </c>
      <c r="I118" s="31">
        <f t="shared" si="7"/>
        <v>29</v>
      </c>
      <c r="J118" s="3">
        <v>2</v>
      </c>
      <c r="K118" s="10" t="str">
        <f xml:space="preserve"> IFERROR("0x" &amp; DEC2HEX(VLOOKUP(F118,Common!$C$10:$D$34,2,FALSE),2) &amp; DEC2HEX(I118,3) &amp; DEC2HEX(VLOOKUP(G118,Common!$C$51:$D$55,2,FALSE),1) &amp; DEC2HEX(1+2*VLOOKUP(H118,Common!$C$69:$D$72,2,FALSE),1) &amp; DEC2HEX(IFERROR(LOG(J118,2),0),1),0)</f>
        <v>0x0501D151</v>
      </c>
      <c r="L118" s="28" t="str">
        <f>IF(AND(LEN(E118)&lt;&gt;0,S116=""),F118&amp;"_"&amp;UPPER(E118),"")</f>
        <v>RTD_SLEWRATE_MIN</v>
      </c>
      <c r="M118" s="32" t="s">
        <v>285</v>
      </c>
      <c r="N118" s="3">
        <v>15</v>
      </c>
      <c r="O118" s="3">
        <v>-30</v>
      </c>
      <c r="P118" s="3">
        <v>200</v>
      </c>
      <c r="Q118" s="5" t="s">
        <v>288</v>
      </c>
      <c r="R118" s="32"/>
      <c r="S118" s="32"/>
      <c r="T118" s="2" t="s">
        <v>290</v>
      </c>
      <c r="AA118" s="12"/>
      <c r="AB118" s="12"/>
      <c r="AC118" s="12"/>
      <c r="AD118" s="12"/>
      <c r="AE118" s="12"/>
      <c r="AF118" s="12"/>
      <c r="AG118" s="12"/>
      <c r="AH118" s="12"/>
      <c r="AI118" s="12"/>
    </row>
    <row r="119" spans="1:35" s="10" customFormat="1" x14ac:dyDescent="0.25">
      <c r="A119" s="12"/>
      <c r="B119" s="12"/>
      <c r="C119" s="12"/>
      <c r="D119"/>
      <c r="T119" s="2"/>
      <c r="AA119" s="12"/>
      <c r="AB119" s="12"/>
      <c r="AC119" s="12"/>
      <c r="AD119" s="12"/>
      <c r="AE119" s="12"/>
      <c r="AF119" s="12"/>
      <c r="AG119" s="12"/>
      <c r="AH119" s="12"/>
      <c r="AI119" s="12"/>
    </row>
    <row r="120" spans="1:35" s="10" customFormat="1" x14ac:dyDescent="0.25">
      <c r="A120" s="12"/>
      <c r="B120" s="12"/>
      <c r="C120" s="12"/>
      <c r="D120"/>
      <c r="T120" s="2"/>
      <c r="AA120" s="12"/>
      <c r="AB120" s="12"/>
      <c r="AC120" s="12"/>
      <c r="AD120" s="12"/>
      <c r="AE120" s="12"/>
      <c r="AF120" s="12"/>
      <c r="AG120" s="12"/>
      <c r="AH120" s="12"/>
      <c r="AI120" s="12"/>
    </row>
    <row r="121" spans="1:35" s="10" customFormat="1" x14ac:dyDescent="0.25">
      <c r="E121" s="2" t="s">
        <v>235</v>
      </c>
      <c r="F121" s="3" t="s">
        <v>236</v>
      </c>
      <c r="G121" s="3" t="s">
        <v>45</v>
      </c>
      <c r="H121" s="3" t="s">
        <v>42</v>
      </c>
      <c r="I121" s="31">
        <v>0</v>
      </c>
      <c r="J121" s="28">
        <v>4</v>
      </c>
      <c r="K121" s="10" t="str">
        <f xml:space="preserve"> IFERROR("0x" &amp; DEC2HEX(VLOOKUP(F121,Common!$C$10:$D$34,2,FALSE),2) &amp; DEC2HEX(I121,3) &amp; DEC2HEX(VLOOKUP(G121,Common!$C$51:$D$55,2,FALSE),1) &amp; DEC2HEX(1+2*VLOOKUP(H121,Common!$C$69:$D$72,2,FALSE),1) &amp; DEC2HEX(IFERROR(LOG(J121,2),0),1),0)</f>
        <v>0x06000112</v>
      </c>
      <c r="L121" s="28" t="str">
        <f>IF(AND(LEN(E121)&lt;&gt;0,S121=""),F121&amp;"_"&amp;UPPER(E121),"")</f>
        <v>DBG_WRITES_CONF</v>
      </c>
      <c r="M121" t="s">
        <v>237</v>
      </c>
      <c r="N121" s="28"/>
      <c r="O121" s="28">
        <v>0</v>
      </c>
      <c r="P121" s="28">
        <v>1000000</v>
      </c>
      <c r="Q121" s="3" t="s">
        <v>238</v>
      </c>
      <c r="R121" s="28"/>
      <c r="S121" s="28"/>
      <c r="T121" s="2" t="s">
        <v>239</v>
      </c>
      <c r="U121"/>
      <c r="V121"/>
      <c r="W121"/>
      <c r="AA121" s="12"/>
      <c r="AB121" s="12"/>
      <c r="AC121" s="12"/>
      <c r="AD121" s="12"/>
      <c r="AE121" s="12"/>
      <c r="AF121" s="12"/>
      <c r="AG121" s="12"/>
      <c r="AH121" s="12"/>
      <c r="AI121" s="12"/>
    </row>
    <row r="122" spans="1:35" s="10" customFormat="1" x14ac:dyDescent="0.25">
      <c r="AB122" s="12"/>
      <c r="AC122" s="12"/>
      <c r="AD122" s="12"/>
      <c r="AE122" s="12"/>
      <c r="AF122" s="12"/>
      <c r="AG122" s="12"/>
      <c r="AH122" s="12"/>
      <c r="AI122" s="12"/>
    </row>
    <row r="123" spans="1:35" s="10" customFormat="1" x14ac:dyDescent="0.25">
      <c r="AB123" s="12"/>
      <c r="AC123" s="12"/>
      <c r="AD123" s="12"/>
      <c r="AE123" s="12"/>
      <c r="AF123" s="12"/>
      <c r="AG123" s="12"/>
      <c r="AH123" s="12"/>
      <c r="AI123" s="12"/>
    </row>
    <row r="124" spans="1:35" s="10" customFormat="1" x14ac:dyDescent="0.25">
      <c r="X124"/>
      <c r="Y124"/>
      <c r="Z124" s="12"/>
      <c r="AA124" s="12"/>
      <c r="AB124" s="12"/>
      <c r="AC124" s="12"/>
      <c r="AD124" s="12"/>
      <c r="AE124" s="12"/>
      <c r="AF124" s="12"/>
      <c r="AG124" s="12"/>
      <c r="AH124" s="12"/>
      <c r="AI124" s="12"/>
    </row>
    <row r="125" spans="1:35" s="10" customFormat="1" x14ac:dyDescent="0.25">
      <c r="A125" s="12"/>
      <c r="B125" s="12"/>
      <c r="C125" s="12"/>
      <c r="D125"/>
      <c r="E125" s="24"/>
      <c r="AB125" s="12"/>
      <c r="AC125" s="12"/>
      <c r="AD125" s="12"/>
      <c r="AE125" s="12"/>
      <c r="AF125" s="12"/>
      <c r="AG125" s="12"/>
      <c r="AH125" s="12"/>
      <c r="AI125" s="12"/>
    </row>
    <row r="126" spans="1:35" s="10" customFormat="1" x14ac:dyDescent="0.25">
      <c r="A126" s="12"/>
      <c r="B126" s="12"/>
      <c r="C126" s="12"/>
      <c r="D126"/>
      <c r="E126" s="24"/>
      <c r="AB126" s="12"/>
      <c r="AC126" s="12"/>
      <c r="AD126" s="12"/>
      <c r="AE126" s="12"/>
      <c r="AF126" s="12"/>
      <c r="AG126" s="12"/>
      <c r="AH126" s="12"/>
      <c r="AI126" s="12"/>
    </row>
    <row r="127" spans="1:35" s="10" customFormat="1" x14ac:dyDescent="0.25">
      <c r="A127" s="12"/>
      <c r="B127" s="12"/>
      <c r="C127" s="12"/>
      <c r="D127"/>
      <c r="E127" s="24"/>
      <c r="Z127"/>
      <c r="AA127" s="12"/>
      <c r="AB127" s="12"/>
      <c r="AC127" s="12"/>
      <c r="AD127" s="12"/>
      <c r="AE127" s="12"/>
      <c r="AF127" s="12"/>
      <c r="AG127" s="12"/>
      <c r="AH127" s="12"/>
      <c r="AI127" s="12"/>
    </row>
    <row r="128" spans="1:35" s="10" customFormat="1" x14ac:dyDescent="0.25">
      <c r="A128" s="12"/>
      <c r="B128" s="12"/>
      <c r="C128" s="12"/>
      <c r="D128"/>
      <c r="E128" s="24"/>
      <c r="Z128"/>
      <c r="AA128" s="12"/>
      <c r="AB128" s="12"/>
      <c r="AC128" s="12"/>
      <c r="AD128" s="12"/>
      <c r="AE128" s="12"/>
      <c r="AF128" s="12"/>
      <c r="AG128" s="12"/>
      <c r="AH128" s="12"/>
      <c r="AI128" s="12"/>
    </row>
    <row r="129" spans="1:35" s="10" customFormat="1" x14ac:dyDescent="0.25">
      <c r="A129" s="12"/>
      <c r="B129" s="12"/>
      <c r="C129" s="12"/>
      <c r="D129"/>
      <c r="E129" s="24"/>
      <c r="Z129"/>
      <c r="AA129" s="12"/>
      <c r="AB129" s="12"/>
      <c r="AC129" s="12"/>
      <c r="AD129" s="12"/>
      <c r="AE129" s="12"/>
      <c r="AF129" s="12"/>
      <c r="AG129" s="12"/>
      <c r="AH129" s="12"/>
      <c r="AI129" s="12"/>
    </row>
    <row r="130" spans="1:35" s="10" customFormat="1" x14ac:dyDescent="0.25">
      <c r="A130" s="12"/>
      <c r="B130" s="12"/>
      <c r="C130" s="12"/>
      <c r="D130"/>
      <c r="E130" s="24"/>
      <c r="Z130"/>
      <c r="AA130" s="12"/>
      <c r="AB130" s="12"/>
      <c r="AC130" s="12"/>
      <c r="AD130" s="12"/>
      <c r="AE130" s="12"/>
      <c r="AF130" s="12"/>
      <c r="AG130" s="12"/>
      <c r="AH130" s="12"/>
      <c r="AI130" s="12"/>
    </row>
    <row r="131" spans="1:35" s="10" customFormat="1" x14ac:dyDescent="0.25">
      <c r="A131" s="12"/>
      <c r="B131" s="12"/>
      <c r="C131" s="12"/>
      <c r="D131"/>
      <c r="E131" s="21"/>
      <c r="Z131"/>
      <c r="AA131" s="12"/>
      <c r="AB131" s="12"/>
      <c r="AC131" s="12"/>
      <c r="AD131" s="12"/>
      <c r="AE131" s="12"/>
      <c r="AF131" s="12"/>
      <c r="AG131" s="12"/>
      <c r="AH131" s="12"/>
      <c r="AI131" s="12"/>
    </row>
    <row r="132" spans="1:35" s="10" customFormat="1" x14ac:dyDescent="0.25">
      <c r="A132" s="12"/>
      <c r="B132" s="12"/>
      <c r="C132" s="12"/>
      <c r="D132"/>
      <c r="E132" s="24"/>
      <c r="AA132" s="12"/>
      <c r="AB132" s="12"/>
      <c r="AC132" s="12"/>
      <c r="AD132" s="12"/>
      <c r="AE132" s="12"/>
      <c r="AF132" s="12"/>
      <c r="AG132" s="12"/>
      <c r="AH132" s="12"/>
      <c r="AI132" s="12"/>
    </row>
    <row r="133" spans="1:35" s="10" customFormat="1" x14ac:dyDescent="0.25">
      <c r="A133" s="12"/>
      <c r="B133" s="12"/>
      <c r="C133" s="12"/>
      <c r="D133"/>
      <c r="E133" s="24"/>
      <c r="F133" s="24"/>
      <c r="G133" s="23"/>
      <c r="H133" s="23"/>
      <c r="I133" s="26"/>
      <c r="J133" s="22"/>
      <c r="K133" s="22"/>
      <c r="L133" s="22"/>
      <c r="M133" s="22"/>
      <c r="N133" s="21"/>
      <c r="O133" s="22"/>
      <c r="P133" s="22"/>
      <c r="Q133" s="22"/>
      <c r="R133" s="23"/>
      <c r="S133" s="23"/>
      <c r="T133" s="22"/>
      <c r="U133" s="21"/>
      <c r="V133"/>
      <c r="W133"/>
      <c r="X133"/>
      <c r="Y133"/>
      <c r="Z133"/>
      <c r="AA133" s="12"/>
      <c r="AB133" s="12"/>
      <c r="AC133" s="12"/>
      <c r="AD133" s="12"/>
      <c r="AE133" s="12"/>
      <c r="AF133" s="12"/>
      <c r="AG133" s="12"/>
      <c r="AH133" s="12"/>
      <c r="AI133" s="12"/>
    </row>
    <row r="134" spans="1:35" s="10" customFormat="1" x14ac:dyDescent="0.25">
      <c r="A134" s="12"/>
      <c r="B134" s="12"/>
      <c r="C134" s="12"/>
      <c r="D134"/>
      <c r="E134" s="24"/>
      <c r="F134" s="24"/>
      <c r="G134" s="23"/>
      <c r="H134" s="23"/>
      <c r="I134" s="26"/>
      <c r="J134" s="22"/>
      <c r="K134" s="22"/>
      <c r="L134" s="22"/>
      <c r="M134" s="22"/>
      <c r="N134" s="21"/>
      <c r="O134" s="22"/>
      <c r="P134" s="22"/>
      <c r="Q134" s="22"/>
      <c r="R134" s="23"/>
      <c r="S134" s="23"/>
      <c r="T134" s="22"/>
      <c r="U134" s="21"/>
      <c r="V134"/>
      <c r="W134"/>
      <c r="X134"/>
      <c r="Y134"/>
      <c r="Z134"/>
      <c r="AA134" s="12"/>
      <c r="AB134" s="12"/>
      <c r="AC134" s="12"/>
      <c r="AD134" s="12"/>
      <c r="AE134" s="12"/>
      <c r="AF134" s="12"/>
      <c r="AG134" s="12"/>
      <c r="AH134" s="12"/>
      <c r="AI134" s="12"/>
    </row>
    <row r="135" spans="1:35" s="10" customFormat="1" x14ac:dyDescent="0.25">
      <c r="A135" s="12"/>
      <c r="B135" s="12"/>
      <c r="C135" s="12"/>
      <c r="D135"/>
      <c r="E135" s="24"/>
      <c r="F135" s="24"/>
      <c r="G135" s="23"/>
      <c r="H135" s="23"/>
      <c r="I135" s="26"/>
      <c r="J135" s="22"/>
      <c r="K135" s="22"/>
      <c r="L135" s="22"/>
      <c r="M135" s="22"/>
      <c r="N135" s="21"/>
      <c r="O135" s="22"/>
      <c r="P135" s="22"/>
      <c r="Q135" s="22"/>
      <c r="R135" s="23"/>
      <c r="S135" s="23"/>
      <c r="T135" s="22"/>
      <c r="U135" s="21"/>
      <c r="V135"/>
      <c r="W135"/>
      <c r="X135"/>
      <c r="Y135"/>
      <c r="Z135"/>
      <c r="AA135" s="12"/>
      <c r="AB135" s="12"/>
      <c r="AC135" s="12"/>
      <c r="AD135" s="12"/>
      <c r="AE135" s="12"/>
      <c r="AF135" s="12"/>
      <c r="AG135" s="12"/>
      <c r="AH135" s="12"/>
      <c r="AI135" s="12"/>
    </row>
    <row r="136" spans="1:35" s="10" customFormat="1" x14ac:dyDescent="0.25">
      <c r="A136" s="12"/>
      <c r="B136" s="12"/>
      <c r="C136" s="12"/>
      <c r="D136"/>
      <c r="E136" s="24"/>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7"/>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7"/>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7"/>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7"/>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7"/>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7"/>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7"/>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7"/>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7"/>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7"/>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7"/>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7"/>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7"/>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7"/>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7"/>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7"/>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7"/>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7"/>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7"/>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7"/>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7"/>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7"/>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7"/>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7"/>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7"/>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7"/>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7"/>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7"/>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7"/>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7"/>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7"/>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7"/>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7"/>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7"/>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7"/>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7"/>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7"/>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7"/>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7"/>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7"/>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7"/>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7"/>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7"/>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7"/>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7"/>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7"/>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9</xdr:col>
                <xdr:colOff>1304925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9</xdr:col>
                <xdr:colOff>1304925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1304925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36</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179</v>
      </c>
      <c r="D14" s="3">
        <v>3</v>
      </c>
      <c r="E14" t="s">
        <v>180</v>
      </c>
      <c r="F14" t="s">
        <v>181</v>
      </c>
    </row>
    <row r="15" spans="3:6" x14ac:dyDescent="0.25">
      <c r="C15" t="s">
        <v>177</v>
      </c>
      <c r="D15" s="3">
        <v>4</v>
      </c>
      <c r="E15" t="s">
        <v>178</v>
      </c>
      <c r="F15" t="s">
        <v>182</v>
      </c>
    </row>
    <row r="16" spans="3:6" x14ac:dyDescent="0.25">
      <c r="C16" t="s">
        <v>183</v>
      </c>
      <c r="D16" s="3">
        <v>5</v>
      </c>
      <c r="E16" t="s">
        <v>184</v>
      </c>
      <c r="F16" t="s">
        <v>185</v>
      </c>
    </row>
    <row r="17" spans="3:5" x14ac:dyDescent="0.25">
      <c r="C17" t="s">
        <v>236</v>
      </c>
      <c r="D17" s="3">
        <v>6</v>
      </c>
      <c r="E17" t="s">
        <v>84</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50</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41</v>
      </c>
      <c r="D51" s="5">
        <v>0</v>
      </c>
      <c r="E51" t="s">
        <v>51</v>
      </c>
      <c r="F51" t="s">
        <v>87</v>
      </c>
    </row>
    <row r="52" spans="3:6" x14ac:dyDescent="0.25">
      <c r="C52" t="s">
        <v>45</v>
      </c>
      <c r="D52" s="5">
        <v>1</v>
      </c>
      <c r="E52" t="s">
        <v>52</v>
      </c>
      <c r="F52" t="s">
        <v>88</v>
      </c>
    </row>
    <row r="53" spans="3:6" x14ac:dyDescent="0.25">
      <c r="C53" t="s">
        <v>46</v>
      </c>
      <c r="D53" s="5">
        <v>2</v>
      </c>
      <c r="E53" t="s">
        <v>53</v>
      </c>
      <c r="F53" t="s">
        <v>95</v>
      </c>
    </row>
    <row r="54" spans="3:6" x14ac:dyDescent="0.25">
      <c r="C54" t="s">
        <v>113</v>
      </c>
      <c r="D54" s="5">
        <v>3</v>
      </c>
      <c r="E54" t="s">
        <v>54</v>
      </c>
      <c r="F54" t="s">
        <v>96</v>
      </c>
    </row>
    <row r="55" spans="3:6" x14ac:dyDescent="0.25">
      <c r="C55" t="s">
        <v>111</v>
      </c>
      <c r="D55" s="5">
        <v>5</v>
      </c>
      <c r="E55" t="s">
        <v>112</v>
      </c>
      <c r="F55" t="s">
        <v>117</v>
      </c>
    </row>
    <row r="56" spans="3:6" x14ac:dyDescent="0.25">
      <c r="C56"/>
      <c r="D56" s="7" t="s">
        <v>85</v>
      </c>
      <c r="E56" t="s">
        <v>86</v>
      </c>
      <c r="F56" t="s">
        <v>49</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55</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42</v>
      </c>
      <c r="D69" s="3">
        <v>0</v>
      </c>
      <c r="E69" t="s">
        <v>56</v>
      </c>
      <c r="F69" t="s">
        <v>89</v>
      </c>
    </row>
    <row r="70" spans="3:6" x14ac:dyDescent="0.25">
      <c r="C70" t="s">
        <v>48</v>
      </c>
      <c r="D70" s="3">
        <v>1</v>
      </c>
      <c r="E70" t="s">
        <v>57</v>
      </c>
      <c r="F70" t="s">
        <v>90</v>
      </c>
    </row>
    <row r="71" spans="3:6" x14ac:dyDescent="0.25">
      <c r="C71" t="s">
        <v>47</v>
      </c>
      <c r="D71" s="3">
        <v>2</v>
      </c>
      <c r="E71" t="s">
        <v>58</v>
      </c>
      <c r="F71" t="s">
        <v>91</v>
      </c>
    </row>
    <row r="72" spans="3:6" x14ac:dyDescent="0.25">
      <c r="C72" t="s">
        <v>44</v>
      </c>
      <c r="D72" s="3">
        <v>3</v>
      </c>
      <c r="E72" t="s">
        <v>59</v>
      </c>
      <c r="F72" t="s">
        <v>92</v>
      </c>
    </row>
    <row r="73" spans="3:6" x14ac:dyDescent="0.25">
      <c r="C73" t="s">
        <v>127</v>
      </c>
      <c r="D73" s="3">
        <v>3</v>
      </c>
      <c r="E73" t="s">
        <v>128</v>
      </c>
      <c r="F73" t="s">
        <v>129</v>
      </c>
    </row>
    <row r="74" spans="3:6" x14ac:dyDescent="0.25">
      <c r="C74"/>
      <c r="D74" s="6" t="s">
        <v>93</v>
      </c>
      <c r="E74" t="s">
        <v>86</v>
      </c>
      <c r="F74" t="s">
        <v>49</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66</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67</v>
      </c>
      <c r="D105" s="3">
        <v>0</v>
      </c>
      <c r="E105" t="s">
        <v>72</v>
      </c>
      <c r="F105" t="s">
        <v>73</v>
      </c>
    </row>
    <row r="106" spans="3:6" x14ac:dyDescent="0.25">
      <c r="C106" s="5" t="s">
        <v>83</v>
      </c>
      <c r="D106" s="3">
        <v>1</v>
      </c>
      <c r="E106" t="s">
        <v>74</v>
      </c>
      <c r="F106" t="s">
        <v>75</v>
      </c>
    </row>
    <row r="107" spans="3:6" x14ac:dyDescent="0.25">
      <c r="C107" s="5" t="s">
        <v>84</v>
      </c>
      <c r="D107" s="3">
        <v>2</v>
      </c>
      <c r="E107" t="s">
        <v>76</v>
      </c>
      <c r="F107" t="s">
        <v>94</v>
      </c>
    </row>
    <row r="108" spans="3:6" x14ac:dyDescent="0.25">
      <c r="C108" s="5" t="s">
        <v>23</v>
      </c>
      <c r="D108" s="3">
        <v>3</v>
      </c>
      <c r="E108" t="s">
        <v>65</v>
      </c>
      <c r="F108" t="s">
        <v>81</v>
      </c>
    </row>
    <row r="109" spans="3:6" x14ac:dyDescent="0.25">
      <c r="C109" s="5" t="s">
        <v>68</v>
      </c>
      <c r="D109" s="3">
        <v>4</v>
      </c>
      <c r="E109" t="s">
        <v>61</v>
      </c>
      <c r="F109" t="s">
        <v>77</v>
      </c>
    </row>
    <row r="110" spans="3:6" x14ac:dyDescent="0.25">
      <c r="C110" s="5" t="s">
        <v>69</v>
      </c>
      <c r="D110" s="3">
        <v>5</v>
      </c>
      <c r="E110" t="s">
        <v>62</v>
      </c>
      <c r="F110" t="s">
        <v>78</v>
      </c>
    </row>
    <row r="111" spans="3:6" x14ac:dyDescent="0.25">
      <c r="C111" s="5" t="s">
        <v>70</v>
      </c>
      <c r="D111" s="3">
        <v>6</v>
      </c>
      <c r="E111" t="s">
        <v>63</v>
      </c>
      <c r="F111" t="s">
        <v>79</v>
      </c>
    </row>
    <row r="112" spans="3:6" x14ac:dyDescent="0.25">
      <c r="C112" s="5" t="s">
        <v>71</v>
      </c>
      <c r="D112" s="3">
        <v>7</v>
      </c>
      <c r="E112" t="s">
        <v>64</v>
      </c>
      <c r="F112" t="s">
        <v>80</v>
      </c>
    </row>
    <row r="113" spans="3:6" x14ac:dyDescent="0.25">
      <c r="D113" s="6" t="s">
        <v>38</v>
      </c>
      <c r="E113" t="s">
        <v>82</v>
      </c>
      <c r="F113" t="s">
        <v>49</v>
      </c>
    </row>
    <row r="119" spans="3:6" ht="21" x14ac:dyDescent="0.35">
      <c r="C119" s="1" t="s">
        <v>100</v>
      </c>
    </row>
    <row r="124" spans="3:6" ht="15.75" x14ac:dyDescent="0.25">
      <c r="D124" s="4" t="s">
        <v>40</v>
      </c>
      <c r="E124" s="4" t="s">
        <v>99</v>
      </c>
      <c r="F124" s="4" t="s">
        <v>104</v>
      </c>
    </row>
    <row r="125" spans="3:6" x14ac:dyDescent="0.25">
      <c r="D125" s="3">
        <v>0</v>
      </c>
      <c r="E125" t="s">
        <v>67</v>
      </c>
      <c r="F125" t="s">
        <v>118</v>
      </c>
    </row>
    <row r="126" spans="3:6" x14ac:dyDescent="0.25">
      <c r="D126" s="3">
        <v>1</v>
      </c>
      <c r="E126" t="s">
        <v>84</v>
      </c>
      <c r="F126" t="s">
        <v>119</v>
      </c>
    </row>
    <row r="127" spans="3:6" x14ac:dyDescent="0.25">
      <c r="D127" s="3">
        <v>2</v>
      </c>
      <c r="E127" t="s">
        <v>101</v>
      </c>
      <c r="F127" t="s">
        <v>105</v>
      </c>
    </row>
    <row r="128" spans="3:6" x14ac:dyDescent="0.25">
      <c r="D128" s="3">
        <v>3</v>
      </c>
      <c r="E128" t="s">
        <v>101</v>
      </c>
      <c r="F128" t="s">
        <v>106</v>
      </c>
    </row>
    <row r="129" spans="3:6" x14ac:dyDescent="0.25">
      <c r="D129" s="3">
        <v>4</v>
      </c>
      <c r="E129" t="s">
        <v>102</v>
      </c>
      <c r="F129" t="s">
        <v>109</v>
      </c>
    </row>
    <row r="130" spans="3:6" x14ac:dyDescent="0.25">
      <c r="D130" s="3">
        <v>5</v>
      </c>
      <c r="E130" t="s">
        <v>102</v>
      </c>
      <c r="F130" t="s">
        <v>109</v>
      </c>
    </row>
    <row r="131" spans="3:6" x14ac:dyDescent="0.25">
      <c r="D131" s="3">
        <v>6</v>
      </c>
      <c r="E131" t="s">
        <v>103</v>
      </c>
      <c r="F131" t="s">
        <v>107</v>
      </c>
    </row>
    <row r="132" spans="3:6" x14ac:dyDescent="0.25">
      <c r="D132" s="3">
        <v>7</v>
      </c>
      <c r="E132" t="s">
        <v>103</v>
      </c>
      <c r="F132" t="s">
        <v>107</v>
      </c>
    </row>
    <row r="133" spans="3:6" x14ac:dyDescent="0.25">
      <c r="D133" s="3">
        <v>8</v>
      </c>
      <c r="E133" t="s">
        <v>39</v>
      </c>
      <c r="F133" t="s">
        <v>108</v>
      </c>
    </row>
    <row r="134" spans="3:6" x14ac:dyDescent="0.25">
      <c r="D134" s="3">
        <v>9</v>
      </c>
      <c r="E134" t="s">
        <v>39</v>
      </c>
      <c r="F134" t="s">
        <v>108</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2025-08-25T10:53:37Z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