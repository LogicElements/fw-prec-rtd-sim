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E4EF9F8B-DE82-4C2D-8513-59F6C6825322}"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25" l="1"/>
  <c r="F7" i="25"/>
  <c r="I85" i="25" l="1"/>
  <c r="I78" i="25"/>
  <c r="I79" i="25" s="1"/>
  <c r="L78" i="25"/>
  <c r="L81" i="25"/>
  <c r="L82" i="25"/>
  <c r="L83" i="25"/>
  <c r="L85" i="25"/>
  <c r="K78" i="25"/>
  <c r="I66" i="25"/>
  <c r="K66" i="25" s="1"/>
  <c r="K79" i="25" l="1"/>
  <c r="I80" i="25"/>
  <c r="I81" i="25" s="1"/>
  <c r="I82" i="25" s="1"/>
  <c r="I83" i="25" s="1"/>
  <c r="K85" i="25" s="1"/>
  <c r="K80" i="25"/>
  <c r="I67" i="25"/>
  <c r="I68" i="25" s="1"/>
  <c r="I69" i="25" s="1"/>
  <c r="I70" i="25" s="1"/>
  <c r="I71" i="25" s="1"/>
  <c r="I72" i="25" s="1"/>
  <c r="I73" i="25" s="1"/>
  <c r="I74" i="25" s="1"/>
  <c r="I75" i="25" s="1"/>
  <c r="I76" i="25" s="1"/>
  <c r="I77" i="25" s="1"/>
  <c r="L70" i="25"/>
  <c r="K81" i="25" l="1"/>
  <c r="L66" i="25"/>
  <c r="L73" i="25"/>
  <c r="L74" i="25"/>
  <c r="L77" i="25"/>
  <c r="L76" i="25"/>
  <c r="L75"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K82" i="25" l="1"/>
  <c r="K67"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83" i="25" l="1"/>
  <c r="K68" i="25"/>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<sst xmlns="http://schemas.openxmlformats.org/spreadsheetml/2006/main" count="481" uniqueCount="314">
  <si>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</si>
  <si>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</si>
  <si>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</si>
  <si>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</si>
  <si>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</si>
  <si>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</si>
  <si>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</si>
  <si>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</si>
  <si>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</si>
  <si>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</si>
  <si>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</si>
  <si>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</si>
  <si>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</si>
  <si>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</si>
  <si>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</si>
  <si>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</si>
  <si>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</si>
  <si>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</si>
  <si>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</si>
  <si>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</si>
  <si>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</si>
  <si>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</si>
  <si>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</si>
  <si>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</si>
  <si>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</si>
  <si>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</si>
  <si>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</si>
  <si>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</si>
  <si>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</si>
  <si>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</si>
  <si>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</si>
  <si>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</si>
  <si>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</si>
  <si>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</si>
  <si>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</si>
  <si>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</si>
  <si>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</si>
  <si>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</si>
  <si>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</si>
  <si>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</si>
  <si>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</si>
  <si>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</si>
  <si>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</si>
  <si>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</si>
  <si>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</si>
  <si>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</si>
  <si>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</si>
  <si>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</si>
  <si>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</si>
  <si>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</si>
  <si>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</si>
  <si>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</si>
  <si>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</si>
  <si>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</si>
  <si>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</si>
  <si>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</si>
  <si>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</si>
  <si>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</si>
  <si>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</si>
  <si>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</si>
  <si>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</si>
  <si>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</si>
  <si>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</si>
  <si>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</si>
  <si>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</si>
  <si>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</si>
  <si>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</si>
  <si>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</si>
  <si>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</si>
  <si>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</si>
  <si>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</si>
  <si>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</si>
  <si>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</si>
  <si>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</si>
  <si>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</si>
  <si>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</si>
  <si>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</si>
  <si>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</si>
  <si>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</si>
  <si>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</si>
  <si>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</si>
  <si>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</si>
  <si>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</si>
  <si>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</si>
  <si>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</si>
  <si>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</si>
  <si>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</si>
  <si>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</si>
  <si>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</si>
  <si>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</si>
  <si>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</si>
  <si>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</si>
  <si>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</si>
  <si>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</si>
  <si>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</si>
  <si>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</si>
  <si>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</si>
  <si>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</si>
  <si>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</si>
  <si>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</si>
  <si>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</si>
  <si>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</si>
  <si>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</si>
  <si>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</si>
  <si>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</si>
  <si>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</si>
  <si>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</si>
  <si>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</si>
  <si>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</si>
  <si>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</si>
  <si>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</si>
  <si>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</si>
  <si>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</si>
  <si>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</si>
  <si>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</si>
  <si>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</si>
  <si>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</si>
  <si>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</si>
  <si>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</si>
  <si>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</si>
  <si>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</si>
  <si>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</si>
  <si>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</si>
  <si>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</si>
  <si>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</si>
  <si>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</si>
  <si>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</si>
  <si>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</si>
  <si>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</si>
  <si>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</si>
  <si>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</si>
  <si>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</si>
  <si>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</si>
  <si>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</si>
  <si>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</si>
  <si>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</si>
  <si>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</si>
  <si>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</si>
  <si>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</si>
  <si>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</si>
  <si>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</si>
  <si>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</si>
  <si>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</si>
  <si>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</si>
  <si>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</si>
  <si>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</si>
  <si>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</si>
  <si>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</si>
  <si>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</si>
  <si>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</si>
  <si>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</si>
  <si>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</si>
  <si>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</si>
  <si>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</si>
  <si>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</si>
  <si>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</si>
  <si>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</si>
  <si>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</si>
  <si>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</si>
  <si>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</si>
  <si>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</si>
  <si>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</si>
  <si>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</si>
  <si>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</si>
  <si>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</si>
  <si>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</si>
  <si>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</si>
  <si>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</si>
  <si>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</si>
  <si>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</si>
  <si>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</si>
  <si>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</si>
  <si>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</si>
  <si>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</si>
  <si>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</si>
  <si>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</si>
  <si>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</si>
  <si>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</si>
  <si>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</si>
  <si>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</si>
  <si>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</si>
  <si>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</si>
  <si>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</si>
  <si>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</si>
  <si>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</si>
  <si>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</si>
  <si>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</si>
  <si>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</si>
  <si>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</si>
  <si>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</si>
  <si>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</si>
  <si>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</si>
  <si>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</si>
  <si>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</si>
  <si>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</si>
  <si>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</si>
  <si>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</si>
  <si>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</si>
  <si>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</si>
  <si>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</si>
  <si>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</si>
  <si>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</si>
  <si>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</si>
  <si>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</si>
  <si>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</si>
  <si>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</si>
  <si>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</si>
  <si>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</si>
  <si>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</si>
  <si>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</si>
  <si>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</si>
  <si>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</si>
  <si>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</si>
  <si>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</si>
  <si>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</si>
  <si>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</si>
  <si>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</si>
  <si>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</si>
  <si>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</si>
  <si>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</si>
  <si>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</si>
  <si>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</si>
  <si>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</si>
  <si>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</si>
  <si>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</si>
  <si>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</si>
  <si>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</si>
  <si>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</si>
  <si>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</si>
  <si>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</si>
  <si>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</si>
  <si>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</si>
  <si>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</si>
  <si>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</si>
  <si>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</si>
  <si>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</si>
  <si>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</si>
  <si>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</si>
  <si>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</si>
  <si>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</si>
  <si>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</si>
  <si>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</si>
  <si>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</si>
  <si>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</si>
  <si>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</si>
  <si>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</si>
  <si>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</si>
  <si>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F32</t>
  </si>
  <si>
    <t>Ohm</t>
  </si>
  <si>
    <t>NTC_BETA</t>
  </si>
  <si>
    <t>NTC beta</t>
  </si>
  <si>
    <t>NTC beta coefficient for computation</t>
  </si>
  <si>
    <t>NTC_STOCK_RES</t>
  </si>
  <si>
    <t>NTC stock resistance</t>
  </si>
  <si>
    <t>PT_STOCK_RES</t>
  </si>
  <si>
    <t>Platinum stock resistance</t>
  </si>
  <si>
    <t>Resistance that should be set at RTD port 1</t>
  </si>
  <si>
    <t>Emulation mode</t>
  </si>
  <si>
    <t>HA 100</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</si>
  <si>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</si>
  <si>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</si>
  <si>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</si>
  <si>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</si>
  <si>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</si>
  <si>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</si>
  <si>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</si>
  <si>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</si>
  <si>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</si>
  <si>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</si>
  <si>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</si>
  <si>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</si>
  <si>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</si>
  <si>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</si>
  <si>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</si>
  <si>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</si>
  <si>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</si>
  <si>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</si>
  <si>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</si>
  <si>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</si>
  <si>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</si>
  <si>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</si>
  <si>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RTD_CALIB_ON</t>
  </si>
  <si>
    <t>RTD_CALIB_OFF</t>
  </si>
  <si>
    <t>Calibration off</t>
  </si>
  <si>
    <t>Calibration on</t>
  </si>
  <si>
    <t>TEMP_CORRECTION</t>
  </si>
  <si>
    <t>Temperature corection mode - recalculates decade resistance values ​​based on current temperature</t>
  </si>
  <si>
    <t>SLEWRATE</t>
  </si>
  <si>
    <t>SLEWRATE_MAX</t>
  </si>
  <si>
    <t>SLEWRATE_MIN</t>
  </si>
  <si>
    <t>SLEWRATE_MODE</t>
  </si>
  <si>
    <t>RTD_SLEWRATE_OFF</t>
  </si>
  <si>
    <t>RTD_SLEWRATE_ON</t>
  </si>
  <si>
    <t>Temp slew rate mode</t>
  </si>
  <si>
    <t>Slew rate off</t>
  </si>
  <si>
    <t>Slew rate on</t>
  </si>
  <si>
    <t>Temperature slew rate mode ON</t>
  </si>
  <si>
    <t>Temperature slew rate mode OFF</t>
  </si>
  <si>
    <t xml:space="preserve">Temperature slew rate </t>
  </si>
  <si>
    <t>Min temperature in SR mode</t>
  </si>
  <si>
    <t>Max temperature in SR mode</t>
  </si>
  <si>
    <t>C/s</t>
  </si>
  <si>
    <t>C</t>
  </si>
  <si>
    <t>Set maximum of temperature range in SR mode</t>
  </si>
  <si>
    <t>Set minimum of temperature range in SR mode</t>
  </si>
  <si>
    <t>Temperature slew rate in C/s</t>
  </si>
  <si>
    <t xml:space="preserve">Temperature slew rate MODE </t>
  </si>
  <si>
    <t>Temperature that should be set at RTD port 1</t>
  </si>
  <si>
    <t>Platinum stock resistance at 0 C
Value 100 - PT100
Value 500 - PT500
Value 1000 - PT1000</t>
  </si>
  <si>
    <t>NTC stock resistance at 25 C (10000 for common 10k NTC)</t>
  </si>
  <si>
    <t>Temperature correction</t>
  </si>
  <si>
    <t>Mode of RTD emulation.</t>
  </si>
  <si>
    <t xml:space="preserve">Temperature calibration off </t>
  </si>
  <si>
    <t>Temperature calibration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</si>
</sst>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4" fillId="0" borderId="0" xfId="0" applyFont="1" applyAlignment="1">
      <alignment horizontal="left"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69" zoomScaleNormal="85" workbookViewId="0">
      <selection activeCell="J11" sqref="J11"/>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275</v>
      </c>
      <c r="T3" s="31"/>
    </row>
    <row r="4" spans="1:26" ht="24.95" customHeight="1" x14ac:dyDescent="0.25">
      <c r="D4" s="31" t="s">
        <v>18</v>
      </c>
      <c r="E4" s="31"/>
      <c r="F4" s="31" t="s">
        <v>113</v>
      </c>
      <c r="J4" s="3" t="s">
        <v>1</v>
      </c>
      <c r="K4" s="9" t="s">
        <v>5</v>
      </c>
      <c r="L4" s="8" t="s">
        <v>272</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41">
        <v>1</v>
      </c>
      <c r="J6" s="3" t="s">
        <v>1</v>
      </c>
      <c r="K6" s="9" t="s">
        <v>17</v>
      </c>
      <c r="L6" s="8" t="s">
        <v>273</v>
      </c>
      <c r="M6" s="11"/>
      <c r="U6" s="12" t="s">
        <v>1</v>
      </c>
      <c r="Z6" s="10"/>
    </row>
    <row r="7" spans="1:26" ht="24.95" customHeight="1" x14ac:dyDescent="0.25">
      <c r="D7" s="31" t="s">
        <v>143</v>
      </c>
      <c r="E7" s="13"/>
      <c r="F7" s="31" t="str">
        <f>GetWorkName()</f>
        <v>PrecRtdSim</v>
      </c>
      <c r="J7" s="3" t="s">
        <v>1</v>
      </c>
      <c r="K7" s="9" t="s">
        <v>21</v>
      </c>
      <c r="L7" s="8" t="s">
        <v>274</v>
      </c>
      <c r="M7" s="11"/>
      <c r="U7" s="12" t="s">
        <v>1</v>
      </c>
      <c r="Z7" s="10"/>
    </row>
    <row r="8" spans="1:26" ht="24.95" customHeight="1" x14ac:dyDescent="0.25">
      <c r="D8" s="31" t="s">
        <v>117</v>
      </c>
      <c r="E8" s="13"/>
      <c r="F8" s="31" t="str">
        <f>GetPath()&amp;"\..\Firmware\PrecRtdSim-APP\Core\Common\"</f>
        <v>C:\Users\evzen\OneDrive\Dokumenty\RTD_repo\Documents\..\Firmware\PrecRtdSim-APP\Core\Common\</v>
      </c>
      <c r="J8" s="3" t="s">
        <v>1</v>
      </c>
      <c r="K8" s="9" t="s">
        <v>145</v>
      </c>
      <c r="L8" s="8" t="s">
        <v>276</v>
      </c>
      <c r="M8" s="11"/>
      <c r="U8" s="12" t="s">
        <v>1</v>
      </c>
      <c r="Z8" s="10"/>
    </row>
    <row r="9" spans="1:26" ht="24.95" customHeight="1" x14ac:dyDescent="0.25">
      <c r="D9" s="31" t="s">
        <v>148</v>
      </c>
      <c r="E9" s="13"/>
      <c r="F9" s="31" t="s">
        <v>280</v>
      </c>
      <c r="J9" s="3"/>
      <c r="K9" s="9" t="s">
        <v>1</v>
      </c>
      <c r="L9" s="8" t="s">
        <v>277</v>
      </c>
      <c r="M9" s="11"/>
      <c r="Z9" s="10"/>
    </row>
    <row r="10" spans="1:26" ht="24.95" customHeight="1" x14ac:dyDescent="0.25">
      <c r="D10" s="31" t="s">
        <v>153</v>
      </c>
      <c r="E10" s="13"/>
      <c r="F10" s="31" t="s">
        <v>279</v>
      </c>
      <c r="K10" s="9" t="s">
        <v>154</v>
      </c>
      <c r="L10" s="8" t="s">
        <v>278</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3"/>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3"/>
      <c r="T20" t="s">
        <v>156</v>
      </c>
    </row>
    <row r="21" spans="1:20" x14ac:dyDescent="0.25">
      <c r="A21" s="33"/>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3"/>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3"/>
      <c r="T22" t="s">
        <v>164</v>
      </c>
    </row>
    <row r="23" spans="1:20" x14ac:dyDescent="0.25">
      <c r="A23" s="33"/>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3"/>
      <c r="T23" s="2" t="s">
        <v>174</v>
      </c>
    </row>
    <row r="24" spans="1:20" s="33" customFormat="1" x14ac:dyDescent="0.25">
      <c r="D24" s="39"/>
      <c r="E24"/>
      <c r="F24" s="3" t="s">
        <v>32</v>
      </c>
      <c r="G24" s="3"/>
      <c r="H24" s="3"/>
      <c r="I24" s="32">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25">
      <c r="A25" s="33"/>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3"/>
      <c r="T25" t="s">
        <v>161</v>
      </c>
    </row>
    <row r="26" spans="1:20" x14ac:dyDescent="0.25">
      <c r="A26" s="33"/>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3"/>
      <c r="T26" s="2" t="s">
        <v>181</v>
      </c>
    </row>
    <row r="27" spans="1:20" s="13" customFormat="1" ht="90" x14ac:dyDescent="0.25">
      <c r="A27" s="35"/>
      <c r="B27" s="12"/>
      <c r="C27" s="12"/>
      <c r="D27" s="14"/>
      <c r="E27" s="36" t="s">
        <v>165</v>
      </c>
      <c r="F27" s="5" t="s">
        <v>32</v>
      </c>
      <c r="G27" s="5" t="s">
        <v>48</v>
      </c>
      <c r="H27" s="5" t="s">
        <v>50</v>
      </c>
      <c r="I27" s="14">
        <f t="shared" si="0"/>
        <v>12</v>
      </c>
      <c r="J27" s="32">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7" t="s">
        <v>166</v>
      </c>
      <c r="N27" s="32"/>
      <c r="O27" s="32">
        <v>0</v>
      </c>
      <c r="P27" s="32">
        <v>9901</v>
      </c>
      <c r="Q27" s="32"/>
      <c r="R27" s="5"/>
      <c r="S27" s="32"/>
      <c r="T27" s="38" t="s">
        <v>178</v>
      </c>
    </row>
    <row r="28" spans="1:20" x14ac:dyDescent="0.25">
      <c r="A28" s="33"/>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3" customFormat="1" x14ac:dyDescent="0.25">
      <c r="D29" s="39"/>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25">
      <c r="A30" s="33"/>
      <c r="D30" s="14"/>
      <c r="E30" s="2"/>
      <c r="F30" s="3"/>
      <c r="G30" s="5"/>
      <c r="H30" s="18"/>
      <c r="I30" s="14"/>
      <c r="J30" s="29"/>
      <c r="K30" s="10"/>
      <c r="M30" s="2"/>
      <c r="Q30" s="29"/>
      <c r="R30" s="3"/>
      <c r="S30" s="29"/>
      <c r="T30" s="34"/>
    </row>
    <row r="31" spans="1:20" x14ac:dyDescent="0.25">
      <c r="A31" s="33"/>
      <c r="D31" s="14"/>
      <c r="E31" s="2"/>
      <c r="F31" s="3"/>
      <c r="G31" s="5"/>
      <c r="H31" s="18"/>
      <c r="I31" s="14"/>
      <c r="J31" s="29"/>
      <c r="K31" s="10"/>
      <c r="M31" s="2"/>
      <c r="Q31" s="29"/>
      <c r="R31" s="3"/>
      <c r="S31" s="29"/>
      <c r="T31" s="34"/>
    </row>
    <row r="32" spans="1:20" x14ac:dyDescent="0.25">
      <c r="D32" s="14"/>
      <c r="K32" s="10"/>
      <c r="R32" s="3"/>
    </row>
    <row r="33" spans="1:23" x14ac:dyDescent="0.25">
      <c r="A33" s="33"/>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3"/>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3"/>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3"/>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3"/>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3"/>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3"/>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3"/>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3" customFormat="1" x14ac:dyDescent="0.25">
      <c r="B43" s="12"/>
      <c r="C43" s="12"/>
      <c r="D43"/>
      <c r="E43"/>
      <c r="F43" s="3"/>
      <c r="G43" s="3"/>
      <c r="H43" s="3"/>
      <c r="I43" s="32"/>
      <c r="J43" s="29"/>
      <c r="K43" s="29"/>
      <c r="L43" s="29"/>
      <c r="M43" s="21"/>
      <c r="N43" s="29"/>
      <c r="O43" s="3"/>
      <c r="P43" s="3"/>
      <c r="Q43" s="3"/>
      <c r="R43" s="3"/>
      <c r="S43"/>
      <c r="T43"/>
      <c r="U43"/>
      <c r="V43"/>
      <c r="W43"/>
    </row>
    <row r="44" spans="1:23" s="33" customFormat="1" x14ac:dyDescent="0.25">
      <c r="D44" s="39"/>
      <c r="E44" s="2" t="s">
        <v>199</v>
      </c>
      <c r="F44" s="5" t="s">
        <v>185</v>
      </c>
      <c r="G44" s="3" t="s">
        <v>114</v>
      </c>
      <c r="H44" s="18" t="s">
        <v>47</v>
      </c>
      <c r="I44" s="32">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3" customFormat="1" x14ac:dyDescent="0.25">
      <c r="D45" s="39"/>
      <c r="F45" s="5" t="s">
        <v>185</v>
      </c>
      <c r="G45" s="29"/>
      <c r="H45" s="29"/>
      <c r="I45" s="32">
        <f t="shared" si="2"/>
        <v>1</v>
      </c>
      <c r="J45" s="29"/>
      <c r="K45" s="10">
        <f xml:space="preserve"> IFERROR("0x" &amp; DEC2HEX(VLOOKUP(F45,Common!$C$10:$D$34,2,FALSE),2) &amp; DEC2HEX(I45,3) &amp; DEC2HEX(VLOOKUP(G45,Common!$C$51:$D$55,2,FALSE),1) &amp; DEC2HEX(1+2*VLOOKUP(H45,Common!$C$69:$D$72,2,FALSE),1) &amp; DEC2HEX(IFERROR(LOG(J45,2),0),1),0)</f>
        <v>0</v>
      </c>
      <c r="L45" s="3" t="s">
        <v>202</v>
      </c>
      <c r="M45" s="40">
        <v>9600</v>
      </c>
      <c r="N45" s="29"/>
      <c r="O45" s="29"/>
      <c r="P45" s="29"/>
      <c r="Q45" s="29"/>
      <c r="R45" s="29"/>
      <c r="S45" s="29"/>
      <c r="T45" t="s">
        <v>203</v>
      </c>
    </row>
    <row r="46" spans="1:23" s="33" customFormat="1" x14ac:dyDescent="0.25">
      <c r="D46" s="39"/>
      <c r="F46" s="5" t="s">
        <v>185</v>
      </c>
      <c r="G46" s="29"/>
      <c r="H46" s="29"/>
      <c r="I46" s="32">
        <f t="shared" si="2"/>
        <v>1</v>
      </c>
      <c r="J46" s="29"/>
      <c r="K46" s="10">
        <f xml:space="preserve"> IFERROR("0x" &amp; DEC2HEX(VLOOKUP(F46,Common!$C$10:$D$34,2,FALSE),2) &amp; DEC2HEX(I46,3) &amp; DEC2HEX(VLOOKUP(G46,Common!$C$51:$D$55,2,FALSE),1) &amp; DEC2HEX(1+2*VLOOKUP(H46,Common!$C$69:$D$72,2,FALSE),1) &amp; DEC2HEX(IFERROR(LOG(J46,2),0),1),0)</f>
        <v>0</v>
      </c>
      <c r="L46" s="3" t="s">
        <v>204</v>
      </c>
      <c r="M46" s="40">
        <v>19200</v>
      </c>
      <c r="N46" s="29"/>
      <c r="O46" s="29"/>
      <c r="P46" s="29"/>
      <c r="Q46" s="29"/>
      <c r="R46" s="29"/>
      <c r="S46" s="29"/>
      <c r="T46" t="s">
        <v>205</v>
      </c>
    </row>
    <row r="47" spans="1:23" s="33" customFormat="1" x14ac:dyDescent="0.25">
      <c r="D47" s="39"/>
      <c r="F47" s="5" t="s">
        <v>185</v>
      </c>
      <c r="G47" s="29"/>
      <c r="H47" s="29"/>
      <c r="I47" s="32">
        <f t="shared" si="2"/>
        <v>1</v>
      </c>
      <c r="J47" s="29"/>
      <c r="K47" s="10">
        <f xml:space="preserve"> IFERROR("0x" &amp; DEC2HEX(VLOOKUP(F47,Common!$C$10:$D$34,2,FALSE),2) &amp; DEC2HEX(I47,3) &amp; DEC2HEX(VLOOKUP(G47,Common!$C$51:$D$55,2,FALSE),1) &amp; DEC2HEX(1+2*VLOOKUP(H47,Common!$C$69:$D$72,2,FALSE),1) &amp; DEC2HEX(IFERROR(LOG(J47,2),0),1),0)</f>
        <v>0</v>
      </c>
      <c r="L47" s="3" t="s">
        <v>206</v>
      </c>
      <c r="M47" s="40">
        <v>38400</v>
      </c>
      <c r="N47" s="29"/>
      <c r="O47" s="29"/>
      <c r="P47" s="29"/>
      <c r="Q47" s="29"/>
      <c r="R47" s="29"/>
      <c r="S47" s="29"/>
      <c r="T47" t="s">
        <v>207</v>
      </c>
    </row>
    <row r="48" spans="1:23" s="33" customFormat="1" x14ac:dyDescent="0.25">
      <c r="D48" s="39"/>
      <c r="F48" s="5" t="s">
        <v>185</v>
      </c>
      <c r="G48" s="29"/>
      <c r="H48" s="29"/>
      <c r="I48" s="32">
        <f t="shared" si="2"/>
        <v>1</v>
      </c>
      <c r="J48" s="29"/>
      <c r="K48" s="10">
        <f xml:space="preserve"> IFERROR("0x" &amp; DEC2HEX(VLOOKUP(F48,Common!$C$10:$D$34,2,FALSE),2) &amp; DEC2HEX(I48,3) &amp; DEC2HEX(VLOOKUP(G48,Common!$C$51:$D$55,2,FALSE),1) &amp; DEC2HEX(1+2*VLOOKUP(H48,Common!$C$69:$D$72,2,FALSE),1) &amp; DEC2HEX(IFERROR(LOG(J48,2),0),1),0)</f>
        <v>0</v>
      </c>
      <c r="L48" s="3" t="s">
        <v>208</v>
      </c>
      <c r="M48" s="40">
        <v>57600</v>
      </c>
      <c r="N48" s="29"/>
      <c r="O48" s="29"/>
      <c r="P48" s="29"/>
      <c r="Q48" s="29"/>
      <c r="R48" s="29"/>
      <c r="S48" s="29"/>
      <c r="T48" t="s">
        <v>209</v>
      </c>
    </row>
    <row r="49" spans="4:26" s="33" customFormat="1" x14ac:dyDescent="0.25">
      <c r="D49" s="39"/>
      <c r="F49" s="5" t="s">
        <v>185</v>
      </c>
      <c r="G49" s="29"/>
      <c r="H49" s="29"/>
      <c r="I49" s="32">
        <f t="shared" si="2"/>
        <v>1</v>
      </c>
      <c r="J49" s="29"/>
      <c r="K49" s="10">
        <f xml:space="preserve"> IFERROR("0x" &amp; DEC2HEX(VLOOKUP(F49,Common!$C$10:$D$34,2,FALSE),2) &amp; DEC2HEX(I49,3) &amp; DEC2HEX(VLOOKUP(G49,Common!$C$51:$D$55,2,FALSE),1) &amp; DEC2HEX(1+2*VLOOKUP(H49,Common!$C$69:$D$72,2,FALSE),1) &amp; DEC2HEX(IFERROR(LOG(J49,2),0),1),0)</f>
        <v>0</v>
      </c>
      <c r="L49" s="3" t="s">
        <v>210</v>
      </c>
      <c r="M49" s="40">
        <v>115200</v>
      </c>
      <c r="N49" s="29"/>
      <c r="O49" s="29"/>
      <c r="P49" s="29"/>
      <c r="Q49" s="29"/>
      <c r="R49" s="29"/>
      <c r="S49" s="29"/>
      <c r="T49" t="s">
        <v>211</v>
      </c>
    </row>
    <row r="50" spans="4:26" s="33" customFormat="1" x14ac:dyDescent="0.25">
      <c r="D50" s="39"/>
      <c r="E50" t="s">
        <v>212</v>
      </c>
      <c r="F50" s="5" t="s">
        <v>185</v>
      </c>
      <c r="G50" s="3" t="s">
        <v>114</v>
      </c>
      <c r="H50" s="3" t="s">
        <v>47</v>
      </c>
      <c r="I50" s="32">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0" t="s">
        <v>213</v>
      </c>
      <c r="N50" s="29">
        <v>1</v>
      </c>
      <c r="O50" s="29">
        <v>0</v>
      </c>
      <c r="P50" s="29">
        <v>2</v>
      </c>
      <c r="Q50" s="29"/>
      <c r="R50" s="29"/>
      <c r="S50" s="29"/>
      <c r="T50" t="s">
        <v>214</v>
      </c>
    </row>
    <row r="51" spans="4:26" s="33" customFormat="1" x14ac:dyDescent="0.25">
      <c r="D51" s="39"/>
      <c r="F51" s="5" t="s">
        <v>185</v>
      </c>
      <c r="G51" s="29"/>
      <c r="H51" s="29"/>
      <c r="I51" s="32">
        <f t="shared" si="2"/>
        <v>2</v>
      </c>
      <c r="J51" s="29"/>
      <c r="K51" s="10">
        <f xml:space="preserve"> IFERROR("0x" &amp; DEC2HEX(VLOOKUP(F51,Common!$C$10:$D$34,2,FALSE),2) &amp; DEC2HEX(I51,3) &amp; DEC2HEX(VLOOKUP(G51,Common!$C$51:$D$55,2,FALSE),1) &amp; DEC2HEX(1+2*VLOOKUP(H51,Common!$C$69:$D$72,2,FALSE),1) &amp; DEC2HEX(IFERROR(LOG(J51,2),0),1),0)</f>
        <v>0</v>
      </c>
      <c r="L51" s="3" t="s">
        <v>215</v>
      </c>
      <c r="M51" s="40" t="s">
        <v>216</v>
      </c>
      <c r="N51" s="29"/>
      <c r="O51" s="29"/>
      <c r="P51" s="29"/>
      <c r="Q51" s="29"/>
      <c r="R51" s="29"/>
      <c r="S51" s="29"/>
      <c r="T51" t="s">
        <v>217</v>
      </c>
    </row>
    <row r="52" spans="4:26" s="33" customFormat="1" x14ac:dyDescent="0.25">
      <c r="D52" s="39"/>
      <c r="F52" s="5" t="s">
        <v>185</v>
      </c>
      <c r="G52" s="29"/>
      <c r="H52" s="29"/>
      <c r="I52" s="32">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3" customFormat="1" x14ac:dyDescent="0.25">
      <c r="D53" s="39"/>
      <c r="F53" s="5" t="s">
        <v>185</v>
      </c>
      <c r="G53" s="29"/>
      <c r="H53" s="29"/>
      <c r="I53" s="32">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3" customFormat="1" x14ac:dyDescent="0.25">
      <c r="D54" s="39"/>
      <c r="E54" t="s">
        <v>224</v>
      </c>
      <c r="F54" s="5" t="s">
        <v>185</v>
      </c>
      <c r="G54" s="3" t="s">
        <v>114</v>
      </c>
      <c r="H54" s="3" t="s">
        <v>47</v>
      </c>
      <c r="I54" s="32">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3" customFormat="1" x14ac:dyDescent="0.25">
      <c r="D55" s="39"/>
      <c r="F55" s="5" t="s">
        <v>185</v>
      </c>
      <c r="G55" s="29"/>
      <c r="H55" s="29"/>
      <c r="I55" s="32">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3" customFormat="1" x14ac:dyDescent="0.25">
      <c r="D56" s="39"/>
      <c r="F56" s="5" t="s">
        <v>185</v>
      </c>
      <c r="G56" s="29"/>
      <c r="H56" s="29"/>
      <c r="I56" s="32">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3" customFormat="1" x14ac:dyDescent="0.25">
      <c r="D57" s="39"/>
      <c r="E57" t="s">
        <v>231</v>
      </c>
      <c r="F57" s="5" t="s">
        <v>185</v>
      </c>
      <c r="G57" s="3" t="s">
        <v>48</v>
      </c>
      <c r="H57" s="3" t="s">
        <v>50</v>
      </c>
      <c r="I57" s="32">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3" customFormat="1" x14ac:dyDescent="0.25">
      <c r="D58" s="39"/>
      <c r="E58" t="s">
        <v>233</v>
      </c>
      <c r="F58" s="5" t="s">
        <v>185</v>
      </c>
      <c r="G58" s="3" t="s">
        <v>48</v>
      </c>
      <c r="H58" s="3" t="s">
        <v>45</v>
      </c>
      <c r="I58" s="32">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3" customFormat="1" x14ac:dyDescent="0.25">
      <c r="D59" s="39"/>
      <c r="E59" t="s">
        <v>236</v>
      </c>
      <c r="F59" s="3" t="s">
        <v>185</v>
      </c>
      <c r="G59" s="3" t="s">
        <v>48</v>
      </c>
      <c r="H59" s="3" t="s">
        <v>50</v>
      </c>
      <c r="I59" s="32">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3" customFormat="1" x14ac:dyDescent="0.25">
      <c r="D60" s="39"/>
      <c r="E60" t="s">
        <v>239</v>
      </c>
      <c r="F60" s="3" t="s">
        <v>185</v>
      </c>
      <c r="G60" s="3" t="s">
        <v>48</v>
      </c>
      <c r="H60" s="3" t="s">
        <v>47</v>
      </c>
      <c r="I60" s="32">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3" customFormat="1" x14ac:dyDescent="0.25">
      <c r="D61" s="39"/>
      <c r="F61" s="29"/>
      <c r="I61" s="32"/>
      <c r="K61" s="10"/>
      <c r="N61" s="29"/>
      <c r="O61" s="29"/>
      <c r="P61" s="29"/>
      <c r="Q61" s="29"/>
      <c r="R61" s="29"/>
    </row>
    <row r="62" spans="4:26" x14ac:dyDescent="0.25">
      <c r="E62"/>
      <c r="F62" s="3"/>
      <c r="G62" s="3"/>
      <c r="H62" s="3"/>
      <c r="I62" s="32"/>
      <c r="K62" s="10"/>
      <c r="L62" s="3"/>
      <c r="M62"/>
      <c r="N62" s="3"/>
      <c r="Q62" s="3"/>
      <c r="T62"/>
      <c r="Z62" s="33"/>
    </row>
    <row r="63" spans="4:26" s="33" customFormat="1" x14ac:dyDescent="0.25">
      <c r="D63" s="39"/>
    </row>
    <row r="64" spans="4:26" s="33" customFormat="1" x14ac:dyDescent="0.25">
      <c r="D64" s="39"/>
    </row>
    <row r="65" spans="1:35" s="33" customFormat="1" x14ac:dyDescent="0.25">
      <c r="D65" s="39"/>
    </row>
    <row r="66" spans="1:35" s="33" customFormat="1" x14ac:dyDescent="0.25">
      <c r="D66" s="39"/>
      <c r="E66" t="s">
        <v>246</v>
      </c>
      <c r="F66" s="3" t="s">
        <v>189</v>
      </c>
      <c r="G66" s="3" t="s">
        <v>114</v>
      </c>
      <c r="H66" s="3" t="s">
        <v>50</v>
      </c>
      <c r="I66" s="32">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257</v>
      </c>
      <c r="N66" s="29"/>
      <c r="O66" s="29">
        <v>0</v>
      </c>
      <c r="P66" s="29">
        <v>2</v>
      </c>
      <c r="Q66" s="29"/>
      <c r="R66" s="3" t="s">
        <v>258</v>
      </c>
      <c r="T66" t="s">
        <v>311</v>
      </c>
    </row>
    <row r="67" spans="1:35" s="33" customFormat="1" x14ac:dyDescent="0.25">
      <c r="D67" s="39"/>
      <c r="E67"/>
      <c r="F67" s="3"/>
      <c r="G67" s="3"/>
      <c r="H67" s="3"/>
      <c r="I67" s="32">
        <f t="shared" ref="I67:I69" si="8">I66+J66</f>
        <v>1</v>
      </c>
      <c r="J67" s="29"/>
      <c r="K67" s="10">
        <f xml:space="preserve"> IFERROR("0x" &amp; DEC2HEX(VLOOKUP(F67,Common!$C$10:$D$34,2,FALSE),2) &amp; DEC2HEX(I67,3) &amp; DEC2HEX(VLOOKUP(G67,Common!$C$51:$D$55,2,FALSE),1) &amp; DEC2HEX(1+2*VLOOKUP(H67,Common!$C$69:$D$72,2,FALSE),1) &amp; DEC2HEX(IFERROR(LOG(J67,2),0),1),0)</f>
        <v>0</v>
      </c>
      <c r="L67" s="3" t="s">
        <v>269</v>
      </c>
      <c r="M67" t="s">
        <v>259</v>
      </c>
      <c r="N67" s="29"/>
      <c r="O67" s="29"/>
      <c r="P67" s="29"/>
      <c r="Q67" s="29"/>
      <c r="R67" s="29"/>
      <c r="T67" t="s">
        <v>260</v>
      </c>
    </row>
    <row r="68" spans="1:35" s="10" customFormat="1" x14ac:dyDescent="0.25">
      <c r="A68" s="12"/>
      <c r="B68" s="12"/>
      <c r="C68" s="12"/>
      <c r="D68"/>
      <c r="E68"/>
      <c r="F68" s="3"/>
      <c r="G68" s="3"/>
      <c r="H68" s="3"/>
      <c r="I68" s="32">
        <f t="shared" si="8"/>
        <v>1</v>
      </c>
      <c r="J68" s="29"/>
      <c r="K68" s="10">
        <f xml:space="preserve"> IFERROR("0x" &amp; DEC2HEX(VLOOKUP(F68,Common!$C$10:$D$34,2,FALSE),2) &amp; DEC2HEX(I68,3) &amp; DEC2HEX(VLOOKUP(G68,Common!$C$51:$D$55,2,FALSE),1) &amp; DEC2HEX(1+2*VLOOKUP(H68,Common!$C$69:$D$72,2,FALSE),1) &amp; DEC2HEX(IFERROR(LOG(J68,2),0),1),0)</f>
        <v>0</v>
      </c>
      <c r="L68" s="3" t="s">
        <v>270</v>
      </c>
      <c r="M68" t="s">
        <v>261</v>
      </c>
      <c r="N68" s="29"/>
      <c r="O68" s="29"/>
      <c r="P68" s="29"/>
      <c r="Q68" s="29"/>
      <c r="R68" s="29"/>
      <c r="S68" s="33"/>
      <c r="T68" t="s">
        <v>262</v>
      </c>
      <c r="U68" s="33"/>
      <c r="V68" s="33"/>
      <c r="W68" s="33"/>
      <c r="X68" s="33"/>
      <c r="Y68" s="33"/>
      <c r="Z68" s="33"/>
      <c r="AA68" s="12"/>
      <c r="AB68" s="12"/>
      <c r="AC68" s="12"/>
      <c r="AD68" s="12"/>
      <c r="AE68" s="12"/>
      <c r="AF68" s="12"/>
      <c r="AG68" s="12"/>
      <c r="AH68" s="12"/>
      <c r="AI68" s="12"/>
    </row>
    <row r="69" spans="1:35" s="33" customFormat="1" x14ac:dyDescent="0.25">
      <c r="D69" s="39"/>
      <c r="E69"/>
      <c r="F69" s="3"/>
      <c r="G69" s="3"/>
      <c r="H69" s="3"/>
      <c r="I69" s="32">
        <f t="shared" si="8"/>
        <v>1</v>
      </c>
      <c r="J69" s="29"/>
      <c r="K69" s="10">
        <f xml:space="preserve"> IFERROR("0x" &amp; DEC2HEX(VLOOKUP(F69,Common!$C$10:$D$34,2,FALSE),2) &amp; DEC2HEX(I69,3) &amp; DEC2HEX(VLOOKUP(G69,Common!$C$51:$D$55,2,FALSE),1) &amp; DEC2HEX(1+2*VLOOKUP(H69,Common!$C$69:$D$72,2,FALSE),1) &amp; DEC2HEX(IFERROR(LOG(J69,2),0),1),0)</f>
        <v>0</v>
      </c>
      <c r="L69" s="3" t="s">
        <v>271</v>
      </c>
      <c r="M69" t="s">
        <v>263</v>
      </c>
      <c r="N69" s="29"/>
      <c r="O69" s="29"/>
      <c r="P69" s="29"/>
      <c r="Q69" s="29"/>
      <c r="R69" s="29"/>
      <c r="T69" t="s">
        <v>264</v>
      </c>
    </row>
    <row r="70" spans="1:35" s="33" customFormat="1" x14ac:dyDescent="0.25">
      <c r="D70" s="39"/>
      <c r="E70" s="24" t="s">
        <v>285</v>
      </c>
      <c r="F70" s="23" t="s">
        <v>189</v>
      </c>
      <c r="G70" s="23" t="s">
        <v>114</v>
      </c>
      <c r="H70" s="26" t="s">
        <v>50</v>
      </c>
      <c r="I70" s="32">
        <f t="shared" ref="I70:I77" si="9">I69+J69</f>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RTD_TEMP_CORRECTION</v>
      </c>
      <c r="M70" s="21" t="s">
        <v>310</v>
      </c>
      <c r="N70" s="22">
        <v>0</v>
      </c>
      <c r="O70" s="22">
        <v>0</v>
      </c>
      <c r="P70" s="22">
        <v>1</v>
      </c>
      <c r="Q70" s="23"/>
      <c r="R70" s="23"/>
      <c r="S70" s="22"/>
      <c r="T70" s="21" t="s">
        <v>286</v>
      </c>
      <c r="U70"/>
    </row>
    <row r="71" spans="1:35" s="33" customFormat="1" x14ac:dyDescent="0.25">
      <c r="D71" s="39"/>
      <c r="E71" s="24"/>
      <c r="F71" s="23" t="s">
        <v>189</v>
      </c>
      <c r="G71" s="23"/>
      <c r="H71" s="26"/>
      <c r="I71" s="32">
        <f t="shared" si="9"/>
        <v>2</v>
      </c>
      <c r="J71" s="22"/>
      <c r="K71" s="10">
        <f xml:space="preserve"> IFERROR("0x" &amp; DEC2HEX(VLOOKUP(F71,Common!$C$10:$D$34,2,FALSE),2) &amp; DEC2HEX(I71,3) &amp; DEC2HEX(VLOOKUP(G71,Common!$C$51:$D$55,2,FALSE),1) &amp; DEC2HEX(1+2*VLOOKUP(H71,Common!$C$69:$D$72,2,FALSE),1) &amp; DEC2HEX(IFERROR(LOG(J71,2),0),1),0)</f>
        <v>0</v>
      </c>
      <c r="L71" s="23" t="s">
        <v>282</v>
      </c>
      <c r="M71" s="21" t="s">
        <v>283</v>
      </c>
      <c r="N71" s="22"/>
      <c r="O71" s="22"/>
      <c r="P71" s="22"/>
      <c r="Q71" s="23"/>
      <c r="R71" s="23"/>
      <c r="S71" s="22"/>
      <c r="T71" s="21" t="s">
        <v>312</v>
      </c>
      <c r="U71"/>
    </row>
    <row r="72" spans="1:35" s="33" customFormat="1" x14ac:dyDescent="0.25">
      <c r="D72" s="39"/>
      <c r="F72" s="3" t="s">
        <v>189</v>
      </c>
      <c r="I72" s="32">
        <f t="shared" si="9"/>
        <v>2</v>
      </c>
      <c r="K72" s="10">
        <f xml:space="preserve"> IFERROR("0x" &amp; DEC2HEX(VLOOKUP(F72,Common!$C$10:$D$34,2,FALSE),2) &amp; DEC2HEX(I72,3) &amp; DEC2HEX(VLOOKUP(G72,Common!$C$51:$D$55,2,FALSE),1) &amp; DEC2HEX(1+2*VLOOKUP(H72,Common!$C$69:$D$72,2,FALSE),1) &amp; DEC2HEX(IFERROR(LOG(J72,2),0),1),0)</f>
        <v>0</v>
      </c>
      <c r="L72" s="23" t="s">
        <v>281</v>
      </c>
      <c r="M72" s="33" t="s">
        <v>284</v>
      </c>
      <c r="T72" s="21" t="s">
        <v>313</v>
      </c>
    </row>
    <row r="73" spans="1:35" s="33" customFormat="1" x14ac:dyDescent="0.25">
      <c r="D73" s="39"/>
      <c r="E73" t="s">
        <v>249</v>
      </c>
      <c r="F73" s="3" t="s">
        <v>189</v>
      </c>
      <c r="G73" s="3" t="s">
        <v>48</v>
      </c>
      <c r="H73" s="3" t="s">
        <v>50</v>
      </c>
      <c r="I73" s="32">
        <f t="shared" si="9"/>
        <v>2</v>
      </c>
      <c r="J73" s="29">
        <v>2</v>
      </c>
      <c r="K73" s="10" t="str">
        <f xml:space="preserve"> IFERROR("0x" &amp; DEC2HEX(VLOOKUP(F73,Common!$C$10:$D$34,2,FALSE),2) &amp; DEC2HEX(I73,3) &amp; DEC2HEX(VLOOKUP(G73,Common!$C$51:$D$55,2,FALSE),1) &amp; DEC2HEX(1+2*VLOOKUP(H73,Common!$C$69:$D$72,2,FALSE),1) &amp; DEC2HEX(IFERROR(LOG(J73,2),0),1),0)</f>
        <v>0x05002151</v>
      </c>
      <c r="L73" s="29" t="str">
        <f t="shared" ref="L73:L78" si="10">IF(AND(LEN(E73)&lt;&gt;0,S73=""),F73&amp;"_"&amp;UPPER(E73),"")</f>
        <v>RTD_NTC_BETA</v>
      </c>
      <c r="M73" t="s">
        <v>250</v>
      </c>
      <c r="N73" s="29">
        <v>3977</v>
      </c>
      <c r="O73" s="29">
        <v>3000</v>
      </c>
      <c r="P73" s="29">
        <v>5500</v>
      </c>
      <c r="Q73" s="29"/>
      <c r="R73" s="29"/>
      <c r="S73" s="29"/>
      <c r="T73" t="s">
        <v>251</v>
      </c>
      <c r="Z73" s="12"/>
    </row>
    <row r="74" spans="1:35" s="33" customFormat="1" x14ac:dyDescent="0.25">
      <c r="D74" s="39"/>
      <c r="E74" t="s">
        <v>252</v>
      </c>
      <c r="F74" s="3" t="s">
        <v>189</v>
      </c>
      <c r="G74" s="3" t="s">
        <v>48</v>
      </c>
      <c r="H74" s="3" t="s">
        <v>50</v>
      </c>
      <c r="I74" s="32">
        <f t="shared" si="9"/>
        <v>4</v>
      </c>
      <c r="J74" s="29">
        <v>2</v>
      </c>
      <c r="K74" s="10" t="str">
        <f xml:space="preserve"> IFERROR("0x" &amp; DEC2HEX(VLOOKUP(F74,Common!$C$10:$D$34,2,FALSE),2) &amp; DEC2HEX(I74,3) &amp; DEC2HEX(VLOOKUP(G74,Common!$C$51:$D$55,2,FALSE),1) &amp; DEC2HEX(1+2*VLOOKUP(H74,Common!$C$69:$D$72,2,FALSE),1) &amp; DEC2HEX(IFERROR(LOG(J74,2),0),1),0)</f>
        <v>0x05004151</v>
      </c>
      <c r="L74" s="29" t="str">
        <f t="shared" si="10"/>
        <v>RTD_NTC_STOCK_RES</v>
      </c>
      <c r="M74" t="s">
        <v>253</v>
      </c>
      <c r="N74" s="29">
        <v>10000</v>
      </c>
      <c r="O74" s="29">
        <v>1000</v>
      </c>
      <c r="P74" s="29">
        <v>10000</v>
      </c>
      <c r="Q74" s="3" t="s">
        <v>248</v>
      </c>
      <c r="R74" s="29"/>
      <c r="S74" s="29"/>
      <c r="T74" t="s">
        <v>309</v>
      </c>
      <c r="Z74" s="12"/>
    </row>
    <row r="75" spans="1:35" s="33" customFormat="1" ht="60" x14ac:dyDescent="0.25">
      <c r="D75" s="39"/>
      <c r="E75" t="s">
        <v>254</v>
      </c>
      <c r="F75" s="3" t="s">
        <v>189</v>
      </c>
      <c r="G75" s="3" t="s">
        <v>48</v>
      </c>
      <c r="H75" s="3" t="s">
        <v>50</v>
      </c>
      <c r="I75" s="32">
        <f t="shared" si="9"/>
        <v>6</v>
      </c>
      <c r="J75" s="29">
        <v>2</v>
      </c>
      <c r="K75" s="10" t="str">
        <f xml:space="preserve"> IFERROR("0x" &amp; DEC2HEX(VLOOKUP(F75,Common!$C$10:$D$34,2,FALSE),2) &amp; DEC2HEX(I75,3) &amp; DEC2HEX(VLOOKUP(G75,Common!$C$51:$D$55,2,FALSE),1) &amp; DEC2HEX(1+2*VLOOKUP(H75,Common!$C$69:$D$72,2,FALSE),1) &amp; DEC2HEX(IFERROR(LOG(J75,2),0),1),0)</f>
        <v>0x05006151</v>
      </c>
      <c r="L75" s="29" t="str">
        <f t="shared" si="10"/>
        <v>RTD_PT_STOCK_RES</v>
      </c>
      <c r="M75" t="s">
        <v>255</v>
      </c>
      <c r="N75" s="29">
        <v>1000</v>
      </c>
      <c r="O75" s="29">
        <v>100</v>
      </c>
      <c r="P75" s="29">
        <v>1000</v>
      </c>
      <c r="Q75" s="3" t="s">
        <v>248</v>
      </c>
      <c r="R75" s="29"/>
      <c r="T75" s="34" t="s">
        <v>308</v>
      </c>
    </row>
    <row r="76" spans="1:35" s="33" customFormat="1" x14ac:dyDescent="0.25">
      <c r="D76" s="39"/>
      <c r="E76" t="s">
        <v>265</v>
      </c>
      <c r="F76" s="3" t="s">
        <v>189</v>
      </c>
      <c r="G76" s="3" t="s">
        <v>48</v>
      </c>
      <c r="H76" s="3" t="s">
        <v>50</v>
      </c>
      <c r="I76" s="32">
        <f t="shared" si="9"/>
        <v>8</v>
      </c>
      <c r="J76" s="29">
        <v>4</v>
      </c>
      <c r="K76" s="10" t="str">
        <f xml:space="preserve"> IFERROR("0x" &amp; DEC2HEX(VLOOKUP(F76,Common!$C$10:$D$34,2,FALSE),2) &amp; DEC2HEX(I76,3) &amp; DEC2HEX(VLOOKUP(G76,Common!$C$51:$D$55,2,FALSE),1) &amp; DEC2HEX(1+2*VLOOKUP(H76,Common!$C$69:$D$72,2,FALSE),1) &amp; DEC2HEX(IFERROR(LOG(J76,2),0),1),0)</f>
        <v>0x05008152</v>
      </c>
      <c r="L76" s="29" t="str">
        <f t="shared" si="10"/>
        <v>RTD_RESISTANCE</v>
      </c>
      <c r="M76" t="s">
        <v>267</v>
      </c>
      <c r="N76" s="29">
        <v>10000</v>
      </c>
      <c r="O76" s="3">
        <v>10</v>
      </c>
      <c r="P76" s="29">
        <v>290000</v>
      </c>
      <c r="Q76" s="3" t="s">
        <v>248</v>
      </c>
      <c r="R76" s="3" t="s">
        <v>247</v>
      </c>
      <c r="T76" t="s">
        <v>256</v>
      </c>
      <c r="Z76" s="12"/>
    </row>
    <row r="77" spans="1:35" s="33" customFormat="1" x14ac:dyDescent="0.25">
      <c r="D77" s="39"/>
      <c r="E77" t="s">
        <v>266</v>
      </c>
      <c r="F77" s="3" t="s">
        <v>189</v>
      </c>
      <c r="G77" s="3" t="s">
        <v>49</v>
      </c>
      <c r="H77" s="3" t="s">
        <v>50</v>
      </c>
      <c r="I77" s="32">
        <f t="shared" si="9"/>
        <v>12</v>
      </c>
      <c r="J77" s="29">
        <v>4</v>
      </c>
      <c r="K77" s="10" t="str">
        <f xml:space="preserve"> IFERROR("0x" &amp; DEC2HEX(VLOOKUP(F77,Common!$C$10:$D$34,2,FALSE),2) &amp; DEC2HEX(I77,3) &amp; DEC2HEX(VLOOKUP(G77,Common!$C$51:$D$55,2,FALSE),1) &amp; DEC2HEX(1+2*VLOOKUP(H77,Common!$C$69:$D$72,2,FALSE),1) &amp; DEC2HEX(IFERROR(LOG(J77,2),0),1),0)</f>
        <v>0x0500C252</v>
      </c>
      <c r="L77" s="29" t="str">
        <f t="shared" si="10"/>
        <v>RTD_TEMPERATURE</v>
      </c>
      <c r="M77" t="s">
        <v>268</v>
      </c>
      <c r="N77" s="29">
        <v>25</v>
      </c>
      <c r="O77" s="3">
        <v>-30</v>
      </c>
      <c r="P77" s="29">
        <v>200</v>
      </c>
      <c r="Q77" s="3" t="s">
        <v>302</v>
      </c>
      <c r="R77" s="3" t="s">
        <v>247</v>
      </c>
      <c r="T77" t="s">
        <v>307</v>
      </c>
      <c r="Z77" s="12"/>
    </row>
    <row r="78" spans="1:35" s="33" customFormat="1" x14ac:dyDescent="0.25">
      <c r="D78" s="39"/>
      <c r="E78" s="24" t="s">
        <v>290</v>
      </c>
      <c r="F78" s="3" t="s">
        <v>189</v>
      </c>
      <c r="G78" s="3" t="s">
        <v>114</v>
      </c>
      <c r="H78" s="3" t="s">
        <v>50</v>
      </c>
      <c r="I78" s="32">
        <f t="shared" ref="I78:I83" si="11">I77+J77</f>
        <v>16</v>
      </c>
      <c r="J78" s="3">
        <v>1</v>
      </c>
      <c r="K78" s="10" t="str">
        <f xml:space="preserve"> IFERROR("0x" &amp; DEC2HEX(VLOOKUP(F78,Common!$C$10:$D$34,2,FALSE),2) &amp; DEC2HEX(I78,3) &amp; DEC2HEX(VLOOKUP(G78,Common!$C$51:$D$55,2,FALSE),1) &amp; DEC2HEX(1+2*VLOOKUP(H78,Common!$C$69:$D$72,2,FALSE),1) &amp; DEC2HEX(IFERROR(LOG(J78,2),0),1),0)</f>
        <v>0x05010550</v>
      </c>
      <c r="L78" s="29" t="str">
        <f t="shared" si="10"/>
        <v>RTD_SLEWRATE_MODE</v>
      </c>
      <c r="M78" s="33" t="s">
        <v>293</v>
      </c>
      <c r="N78" s="22">
        <v>0</v>
      </c>
      <c r="O78" s="22">
        <v>0</v>
      </c>
      <c r="P78" s="22">
        <v>1</v>
      </c>
      <c r="Q78" s="3"/>
      <c r="R78" s="23"/>
      <c r="S78" s="22"/>
      <c r="T78" s="21" t="s">
        <v>306</v>
      </c>
      <c r="U78"/>
      <c r="V78"/>
      <c r="W78"/>
      <c r="X78"/>
      <c r="Y78"/>
    </row>
    <row r="79" spans="1:35" s="33" customFormat="1" x14ac:dyDescent="0.25">
      <c r="D79" s="39"/>
      <c r="I79" s="32">
        <f t="shared" si="11"/>
        <v>17</v>
      </c>
      <c r="K79" s="10">
        <f xml:space="preserve"> IFERROR("0x" &amp; DEC2HEX(VLOOKUP(F79,Common!$C$10:$D$34,2,FALSE),2) &amp; DEC2HEX(I79,3) &amp; DEC2HEX(VLOOKUP(G79,Common!$C$51:$D$55,2,FALSE),1) &amp; DEC2HEX(1+2*VLOOKUP(H79,Common!$C$69:$D$72,2,FALSE),1) &amp; DEC2HEX(IFERROR(LOG(J79,2),0),1),0)</f>
        <v>0</v>
      </c>
      <c r="L79" s="29" t="s">
        <v>291</v>
      </c>
      <c r="M79" s="21" t="s">
        <v>294</v>
      </c>
      <c r="N79" s="22"/>
      <c r="O79" s="22"/>
      <c r="P79" s="22"/>
      <c r="Q79" s="23"/>
      <c r="R79" s="23"/>
      <c r="S79" s="22"/>
      <c r="T79" s="21" t="s">
        <v>296</v>
      </c>
      <c r="U79"/>
      <c r="V79"/>
      <c r="W79"/>
      <c r="X79"/>
      <c r="Y79"/>
    </row>
    <row r="80" spans="1:35" s="10" customFormat="1" x14ac:dyDescent="0.25">
      <c r="I80" s="32">
        <f t="shared" si="11"/>
        <v>17</v>
      </c>
      <c r="K80" s="10">
        <f xml:space="preserve"> IFERROR("0x" &amp; DEC2HEX(VLOOKUP(F80,Common!$C$10:$D$34,2,FALSE),2) &amp; DEC2HEX(I80,3) &amp; DEC2HEX(VLOOKUP(G80,Common!$C$51:$D$55,2,FALSE),1) &amp; DEC2HEX(1+2*VLOOKUP(H80,Common!$C$69:$D$72,2,FALSE),1) &amp; DEC2HEX(IFERROR(LOG(J80,2),0),1),0)</f>
        <v>0</v>
      </c>
      <c r="L80" s="29" t="s">
        <v>292</v>
      </c>
      <c r="M80" s="2" t="s">
        <v>295</v>
      </c>
      <c r="T80" s="21" t="s">
        <v>297</v>
      </c>
      <c r="AB80" s="12"/>
      <c r="AC80" s="12"/>
      <c r="AD80" s="12"/>
      <c r="AE80" s="12"/>
      <c r="AF80" s="12"/>
      <c r="AG80" s="12"/>
      <c r="AH80" s="12"/>
      <c r="AI80" s="12"/>
    </row>
    <row r="81" spans="1:35" s="10" customFormat="1" x14ac:dyDescent="0.25">
      <c r="A81" s="12"/>
      <c r="B81" s="12"/>
      <c r="C81" s="12"/>
      <c r="D81"/>
      <c r="E81" s="24" t="s">
        <v>287</v>
      </c>
      <c r="F81" s="3" t="s">
        <v>189</v>
      </c>
      <c r="G81" s="23" t="s">
        <v>49</v>
      </c>
      <c r="H81" s="26" t="s">
        <v>50</v>
      </c>
      <c r="I81" s="32">
        <f t="shared" si="11"/>
        <v>17</v>
      </c>
      <c r="J81" s="29">
        <v>4</v>
      </c>
      <c r="K81" s="10" t="str">
        <f xml:space="preserve"> IFERROR("0x" &amp; DEC2HEX(VLOOKUP(F81,Common!$C$10:$D$34,2,FALSE),2) &amp; DEC2HEX(I81,3) &amp; DEC2HEX(VLOOKUP(G81,Common!$C$51:$D$55,2,FALSE),1) &amp; DEC2HEX(1+2*VLOOKUP(H81,Common!$C$69:$D$72,2,FALSE),1) &amp; DEC2HEX(IFERROR(LOG(J81,2),0),1),0)</f>
        <v>0x05011252</v>
      </c>
      <c r="L81" s="29" t="str">
        <f>IF(AND(LEN(E81)&lt;&gt;0,S78=""),F81&amp;"_"&amp;UPPER(E81),"")</f>
        <v>RTD_SLEWRATE</v>
      </c>
      <c r="M81" s="21" t="s">
        <v>298</v>
      </c>
      <c r="N81" s="3">
        <v>5</v>
      </c>
      <c r="O81" s="3">
        <v>0</v>
      </c>
      <c r="P81" s="3">
        <v>100</v>
      </c>
      <c r="Q81" s="5" t="s">
        <v>301</v>
      </c>
      <c r="R81" s="33"/>
      <c r="S81" s="33"/>
      <c r="T81" s="21" t="s">
        <v>305</v>
      </c>
      <c r="U81" s="33"/>
      <c r="V81" s="33"/>
      <c r="W81" s="33"/>
      <c r="X81" s="33"/>
      <c r="Y81" s="33"/>
      <c r="AA81" s="12"/>
      <c r="AB81" s="12"/>
      <c r="AC81" s="12"/>
      <c r="AD81" s="12"/>
      <c r="AE81" s="12"/>
      <c r="AF81" s="12"/>
      <c r="AG81" s="12"/>
      <c r="AH81" s="12"/>
      <c r="AI81" s="12"/>
    </row>
    <row r="82" spans="1:35" s="33" customFormat="1" x14ac:dyDescent="0.25">
      <c r="A82" s="12"/>
      <c r="B82" s="12"/>
      <c r="C82" s="12"/>
      <c r="D82"/>
      <c r="E82" s="24" t="s">
        <v>288</v>
      </c>
      <c r="F82" s="3" t="s">
        <v>189</v>
      </c>
      <c r="G82" s="23" t="s">
        <v>48</v>
      </c>
      <c r="H82" s="26" t="s">
        <v>50</v>
      </c>
      <c r="I82" s="32">
        <f t="shared" si="11"/>
        <v>21</v>
      </c>
      <c r="J82" s="22">
        <v>2</v>
      </c>
      <c r="K82" s="10" t="str">
        <f xml:space="preserve"> IFERROR("0x" &amp; DEC2HEX(VLOOKUP(F82,Common!$C$10:$D$34,2,FALSE),2) &amp; DEC2HEX(I82,3) &amp; DEC2HEX(VLOOKUP(G82,Common!$C$51:$D$55,2,FALSE),1) &amp; DEC2HEX(1+2*VLOOKUP(H82,Common!$C$69:$D$72,2,FALSE),1) &amp; DEC2HEX(IFERROR(LOG(J82,2),0),1),0)</f>
        <v>0x05015151</v>
      </c>
      <c r="L82" s="29" t="str">
        <f>IF(AND(LEN(E82)&lt;&gt;0,S79=""),F82&amp;"_"&amp;UPPER(E82),"")</f>
        <v>RTD_SLEWRATE_MAX</v>
      </c>
      <c r="M82" s="33" t="s">
        <v>300</v>
      </c>
      <c r="N82" s="3">
        <v>50</v>
      </c>
      <c r="O82" s="10">
        <v>-30</v>
      </c>
      <c r="P82" s="10">
        <v>200</v>
      </c>
      <c r="Q82" s="5" t="s">
        <v>302</v>
      </c>
      <c r="R82" s="10"/>
      <c r="S82" s="10"/>
      <c r="T82" s="33" t="s">
        <v>303</v>
      </c>
      <c r="U82" s="10"/>
      <c r="V82" s="10"/>
      <c r="W82" s="10"/>
      <c r="X82" s="10"/>
      <c r="Y82" s="10"/>
      <c r="Z82" s="10"/>
      <c r="AA82" s="12"/>
    </row>
    <row r="83" spans="1:35" s="10" customFormat="1" x14ac:dyDescent="0.25">
      <c r="A83" s="33"/>
      <c r="B83" s="33"/>
      <c r="C83" s="33"/>
      <c r="D83" s="39"/>
      <c r="E83" s="24" t="s">
        <v>289</v>
      </c>
      <c r="F83" s="3" t="s">
        <v>189</v>
      </c>
      <c r="G83" s="3" t="s">
        <v>48</v>
      </c>
      <c r="H83" s="3" t="s">
        <v>50</v>
      </c>
      <c r="I83" s="32">
        <f t="shared" si="11"/>
        <v>23</v>
      </c>
      <c r="J83" s="3">
        <v>2</v>
      </c>
      <c r="K83" s="10" t="str">
        <f xml:space="preserve"> IFERROR("0x" &amp; DEC2HEX(VLOOKUP(F83,Common!$C$10:$D$34,2,FALSE),2) &amp; DEC2HEX(I83,3) &amp; DEC2HEX(VLOOKUP(G83,Common!$C$51:$D$55,2,FALSE),1) &amp; DEC2HEX(1+2*VLOOKUP(H83,Common!$C$69:$D$72,2,FALSE),1) &amp; DEC2HEX(IFERROR(LOG(J83,2),0),1),0)</f>
        <v>0x05017151</v>
      </c>
      <c r="L83" s="29" t="str">
        <f>IF(AND(LEN(E83)&lt;&gt;0,S81=""),F83&amp;"_"&amp;UPPER(E83),"")</f>
        <v>RTD_SLEWRATE_MIN</v>
      </c>
      <c r="M83" s="33" t="s">
        <v>299</v>
      </c>
      <c r="N83" s="3">
        <v>15</v>
      </c>
      <c r="O83" s="3">
        <v>-30</v>
      </c>
      <c r="P83" s="3">
        <v>200</v>
      </c>
      <c r="Q83" s="5" t="s">
        <v>302</v>
      </c>
      <c r="R83" s="33"/>
      <c r="S83" s="33"/>
      <c r="T83" s="33" t="s">
        <v>304</v>
      </c>
      <c r="U83" s="33"/>
      <c r="V83" s="33"/>
      <c r="W83" s="33"/>
      <c r="X83" s="33"/>
      <c r="Y83" s="33"/>
      <c r="Z83" s="33"/>
      <c r="AA83" s="33"/>
      <c r="AB83" s="12"/>
      <c r="AC83" s="12"/>
      <c r="AD83" s="12"/>
      <c r="AE83" s="12"/>
      <c r="AF83" s="12"/>
      <c r="AG83" s="12"/>
      <c r="AH83" s="12"/>
      <c r="AI83" s="12"/>
    </row>
    <row r="84" spans="1:35" s="10" customFormat="1" x14ac:dyDescent="0.25">
      <c r="A84" s="12"/>
      <c r="B84" s="12"/>
      <c r="C84" s="12"/>
      <c r="D84"/>
      <c r="I84" s="32"/>
      <c r="AA84" s="12"/>
      <c r="AB84" s="12"/>
      <c r="AC84" s="12"/>
      <c r="AD84" s="12"/>
      <c r="AE84" s="12"/>
      <c r="AF84" s="12"/>
      <c r="AG84" s="12"/>
      <c r="AH84" s="12"/>
      <c r="AI84" s="12"/>
    </row>
    <row r="85" spans="1:35" s="10" customFormat="1" x14ac:dyDescent="0.25">
      <c r="A85" s="12"/>
      <c r="B85" s="12"/>
      <c r="C85" s="12"/>
      <c r="D85"/>
      <c r="E85" s="2" t="s">
        <v>241</v>
      </c>
      <c r="F85" s="3" t="s">
        <v>242</v>
      </c>
      <c r="G85" s="3" t="s">
        <v>48</v>
      </c>
      <c r="H85" s="3" t="s">
        <v>45</v>
      </c>
      <c r="I85" s="32">
        <f>I84+J84</f>
        <v>0</v>
      </c>
      <c r="J85" s="29">
        <v>4</v>
      </c>
      <c r="K85" s="10" t="str">
        <f xml:space="preserve"> IFERROR("0x" &amp; DEC2HEX(VLOOKUP(F85,Common!$C$10:$D$34,2,FALSE),2) &amp; DEC2HEX(I85,3) &amp; DEC2HEX(VLOOKUP(G85,Common!$C$51:$D$55,2,FALSE),1) &amp; DEC2HEX(1+2*VLOOKUP(H85,Common!$C$69:$D$72,2,FALSE),1) &amp; DEC2HEX(IFERROR(LOG(J85,2),0),1),0)</f>
        <v>0x06000112</v>
      </c>
      <c r="L85" s="29" t="str">
        <f>IF(AND(LEN(E85)&lt;&gt;0,S85=""),F85&amp;"_"&amp;UPPER(E85),"")</f>
        <v>DBG_WRITES_CONF</v>
      </c>
      <c r="M85" t="s">
        <v>243</v>
      </c>
      <c r="N85" s="29"/>
      <c r="O85" s="29">
        <v>0</v>
      </c>
      <c r="P85" s="29">
        <v>1000000</v>
      </c>
      <c r="Q85" s="3" t="s">
        <v>244</v>
      </c>
      <c r="R85" s="29"/>
      <c r="S85" s="29"/>
      <c r="T85" t="s">
        <v>245</v>
      </c>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189</v>
      </c>
      <c r="D16" s="3">
        <v>5</v>
      </c>
      <c r="E16" t="s">
        <v>190</v>
      </c>
      <c r="F16" t="s">
        <v>191</v>
      </c>
    </row>
    <row r="17" spans="3:5" x14ac:dyDescent="0.25">
      <c r="C17" t="s">
        <v>242</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2024-08-07T10:40:34Z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