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evzen\OneDrive\Dokumenty\RTD_repo\Documents\"/>
    </mc:Choice>
  </mc:AlternateContent>
  <xr:revisionPtr revIDLastSave="0" documentId="13_ncr:1_{51624961-1D4B-43CF-99AD-3F0B5881E887}" xr6:coauthVersionLast="47" xr6:coauthVersionMax="47" xr10:uidLastSave="{00000000-0000-0000-0000-000000000000}"/>
  <bookViews>
    <workbookView xWindow="-120" yWindow="-120" windowWidth="29040" windowHeight="157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5" i="25" l="1"/>
  <c r="I78" i="25"/>
  <c r="I79" i="25" s="1"/>
  <c r="L78" i="25"/>
  <c r="L81" i="25"/>
  <c r="L82" i="25"/>
  <c r="L83" i="25"/>
  <c r="L85" i="25"/>
  <c r="K78" i="25"/>
  <c r="I66" i="25"/>
  <c r="K66" i="25" s="1"/>
  <c r="K79" i="25" l="1"/>
  <c r="I80" i="25"/>
  <c r="I81" i="25" s="1"/>
  <c r="I82" i="25" s="1"/>
  <c r="I83" i="25" s="1"/>
  <c r="K85" i="25" s="1"/>
  <c r="K80" i="25"/>
  <c r="I67" i="25"/>
  <c r="I68" i="25" s="1"/>
  <c r="I69" i="25" s="1"/>
  <c r="I70" i="25" s="1"/>
  <c r="I71" i="25" s="1"/>
  <c r="I72" i="25" s="1"/>
  <c r="I73" i="25" s="1"/>
  <c r="I74" i="25" s="1"/>
  <c r="I75" i="25" s="1"/>
  <c r="I76" i="25" s="1"/>
  <c r="I77" i="25" s="1"/>
  <c r="L70" i="25"/>
  <c r="F7" i="25"/>
  <c r="K81" i="25" l="1"/>
  <c r="L66" i="25"/>
  <c r="L73" i="25"/>
  <c r="L74" i="25"/>
  <c r="L77" i="25"/>
  <c r="L76" i="25"/>
  <c r="L75"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2" i="25"/>
  <c r="F8" i="25"/>
  <c r="K82" i="25" l="1"/>
  <c r="K67" i="25"/>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K83" i="25" l="1"/>
  <c r="K68" i="25"/>
  <c r="I39" i="25"/>
  <c r="K69" i="25" l="1"/>
  <c r="I40" i="25"/>
  <c r="K39" i="25"/>
  <c r="K70" i="25" l="1"/>
  <c r="I41" i="25"/>
  <c r="K41" i="25" s="1"/>
  <c r="K40" i="25"/>
  <c r="K71" i="25" l="1"/>
  <c r="I18" i="25"/>
  <c r="K72" i="25" l="1"/>
  <c r="K18" i="25"/>
  <c r="I19" i="25"/>
  <c r="I20" i="25" s="1"/>
  <c r="I21" i="25" s="1"/>
  <c r="K73" i="25" l="1"/>
  <c r="I22" i="25"/>
  <c r="K21" i="25"/>
  <c r="K19" i="25"/>
  <c r="I34" i="25"/>
  <c r="K34" i="25" s="1"/>
  <c r="K74" i="25" l="1"/>
  <c r="I23" i="25"/>
  <c r="K22" i="25"/>
  <c r="K20" i="25"/>
  <c r="I35" i="25"/>
  <c r="K75" i="25" l="1"/>
  <c r="K23" i="25"/>
  <c r="I24" i="25"/>
  <c r="K24" i="25" s="1"/>
  <c r="I25" i="25"/>
  <c r="I36" i="25"/>
  <c r="K36" i="25" s="1"/>
  <c r="K35" i="25"/>
  <c r="K77" i="25" l="1"/>
  <c r="K76" i="25"/>
  <c r="I26" i="25"/>
  <c r="K25" i="25"/>
  <c r="I27" i="25" l="1"/>
  <c r="K26" i="25"/>
  <c r="I28" i="25" l="1"/>
  <c r="K27" i="25"/>
  <c r="I29" i="25" l="1"/>
  <c r="K29" i="25" s="1"/>
  <c r="K28" i="25"/>
</calcChain>
</file>

<file path=xl/sharedStrings.xml><?xml version="1.0" encoding="utf-8"?>
<sst xmlns="http://schemas.openxmlformats.org/spreadsheetml/2006/main" count="481" uniqueCount="314">
  <si>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</si>
  <si>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</si>
  <si>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</si>
  <si>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</si>
  <si>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</si>
  <si>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</si>
  <si>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</si>
  <si>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</si>
  <si>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</si>
  <si>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</si>
  <si>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</si>
  <si>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</si>
  <si>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</si>
  <si>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</si>
  <si>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</si>
  <si>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</si>
  <si>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</si>
  <si>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</si>
  <si>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</si>
  <si>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</si>
  <si>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</si>
  <si>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</si>
  <si>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</si>
  <si>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</si>
  <si>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</si>
  <si>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</si>
  <si>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</si>
  <si>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</si>
  <si>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</si>
  <si>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</si>
  <si>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</si>
  <si>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</si>
  <si>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</si>
  <si>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</si>
  <si>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</si>
  <si>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</si>
  <si>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</si>
  <si>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</si>
  <si>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</si>
  <si>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</si>
  <si>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</si>
  <si>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</si>
  <si>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</si>
  <si>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</si>
  <si>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</si>
  <si>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</si>
  <si>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</si>
  <si>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</si>
  <si>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</si>
  <si>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</si>
  <si>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</si>
  <si>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</si>
  <si>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</si>
  <si>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</si>
  <si>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</si>
  <si>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</si>
  <si>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</si>
  <si>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</si>
  <si>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</si>
  <si>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</si>
  <si>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</si>
  <si>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</si>
  <si>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</si>
  <si>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</si>
  <si>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</si>
  <si>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</si>
  <si>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</si>
  <si>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</si>
  <si>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</si>
  <si>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</si>
  <si>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</si>
  <si>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</si>
  <si>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</si>
  <si>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</si>
  <si>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</si>
  <si>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</si>
  <si>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</si>
  <si>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</si>
  <si>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</si>
  <si>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</si>
  <si>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</si>
  <si>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</si>
  <si>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</si>
  <si>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</si>
  <si>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</si>
  <si>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</si>
  <si>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</si>
  <si>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</si>
  <si>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</si>
  <si>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</si>
  <si>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</si>
  <si>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</si>
  <si>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</si>
  <si>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</si>
  <si>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</si>
  <si>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</si>
  <si>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</si>
  <si>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</si>
  <si>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</si>
  <si>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</si>
  <si>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</si>
  <si>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</si>
  <si>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</si>
  <si>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</si>
  <si>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</si>
  <si>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</si>
  <si>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</si>
  <si>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</si>
  <si>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</si>
  <si>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</si>
  <si>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</si>
  <si>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</si>
  <si>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</si>
  <si>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</si>
  <si>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</si>
  <si>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</si>
  <si>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</si>
  <si>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</si>
  <si>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</si>
  <si>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</si>
  <si>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</si>
  <si>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</si>
  <si>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</si>
  <si>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</si>
  <si>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</si>
  <si>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</si>
  <si>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</si>
  <si>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</si>
  <si>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</si>
  <si>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</si>
  <si>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</si>
  <si>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</si>
  <si>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</si>
  <si>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</si>
  <si>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</si>
  <si>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</si>
  <si>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</si>
  <si>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</si>
  <si>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</si>
  <si>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</si>
  <si>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</si>
  <si>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</si>
  <si>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</si>
  <si>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</si>
  <si>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</si>
  <si>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</si>
  <si>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</si>
  <si>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</si>
  <si>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</si>
  <si>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</si>
  <si>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</si>
  <si>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</si>
  <si>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</si>
  <si>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</si>
  <si>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</si>
  <si>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</si>
  <si>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</si>
  <si>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</si>
  <si>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</si>
  <si>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</si>
  <si>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</si>
  <si>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</si>
  <si>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</si>
  <si>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</si>
  <si>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</si>
  <si>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</si>
  <si>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</si>
  <si>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</si>
  <si>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</si>
  <si>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</si>
  <si>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</si>
  <si>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</si>
  <si>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</si>
  <si>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</si>
  <si>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</si>
  <si>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</si>
  <si>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</si>
  <si>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</si>
  <si>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</si>
  <si>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</si>
  <si>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</si>
  <si>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</si>
  <si>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</si>
  <si>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</si>
  <si>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</si>
  <si>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</si>
  <si>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</si>
  <si>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</si>
  <si>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</si>
  <si>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RTD</t>
  </si>
  <si>
    <t>RTD_SIMULATOR</t>
  </si>
  <si>
    <t>RTD simulation registers</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</si>
  <si>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</si>
  <si>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</si>
  <si>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</si>
  <si>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</si>
  <si>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</si>
  <si>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</si>
  <si>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</si>
  <si>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</si>
  <si>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</si>
  <si>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</si>
  <si>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</si>
  <si>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</si>
  <si>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</si>
  <si>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</si>
  <si>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</si>
  <si>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</si>
  <si>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</si>
  <si>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</si>
  <si>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</si>
  <si>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</si>
  <si>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</si>
  <si>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</si>
  <si>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</si>
  <si>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</si>
  <si>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</si>
  <si>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</si>
  <si>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</si>
  <si>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</si>
  <si>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</si>
  <si>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</si>
  <si>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</si>
  <si>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</si>
  <si>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</si>
  <si>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</si>
  <si>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</si>
  <si>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</si>
  <si>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</si>
  <si>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</si>
  <si>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</si>
  <si>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</si>
  <si>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</si>
  <si>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</si>
  <si>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</si>
  <si>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</si>
  <si>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</si>
  <si>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</si>
  <si>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</si>
  <si>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</si>
  <si>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</si>
  <si>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</si>
  <si>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</si>
  <si>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</si>
  <si>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</si>
  <si>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</si>
  <si>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</si>
  <si>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t>
  </si>
  <si>
    <t>F32</t>
  </si>
  <si>
    <t>Ohm</t>
  </si>
  <si>
    <t>NTC_BETA</t>
  </si>
  <si>
    <t>NTC beta</t>
  </si>
  <si>
    <t>NTC beta coefficient for computation</t>
  </si>
  <si>
    <t>NTC_STOCK_RES</t>
  </si>
  <si>
    <t>NTC stock resistance</t>
  </si>
  <si>
    <t>NTC stock resistance at 25 °C (10000 for common 10k NTC)</t>
  </si>
  <si>
    <t>PT_STOCK_RES</t>
  </si>
  <si>
    <t>Platinum stock resistance</t>
  </si>
  <si>
    <t>Platinum stock resistance at 0 °C
Value 100 - PT100
Value 500 - PT500
Value 1000 - PT1000</t>
  </si>
  <si>
    <t>Resistance that should be set at RTD port 1</t>
  </si>
  <si>
    <t>Set temperature for RTD port 1</t>
  </si>
  <si>
    <t>Emulation mode</t>
  </si>
  <si>
    <t>HA 100</t>
  </si>
  <si>
    <t>Mode of RTD emulation. Selected mode is common for all 4 channels</t>
  </si>
  <si>
    <t>Direct resistance</t>
  </si>
  <si>
    <t>Set resistance is directly applied to RTD ports</t>
  </si>
  <si>
    <t>NTC thermistor</t>
  </si>
  <si>
    <t>Set temperature is used for NTC resistance computation</t>
  </si>
  <si>
    <t>Platinum RTD</t>
  </si>
  <si>
    <t>Set temperature is used for PT1000 resistance computation</t>
  </si>
  <si>
    <t>RESISTANCE</t>
  </si>
  <si>
    <t>TEMPERATURE</t>
  </si>
  <si>
    <t>Set resistance</t>
  </si>
  <si>
    <t>Temperature</t>
  </si>
  <si>
    <t>RTD_MD_RESISTANCE</t>
  </si>
  <si>
    <t>RTD_MD_NTC</t>
  </si>
  <si>
    <t>RTD_MD_PLATINUM</t>
  </si>
  <si>
    <t>C:\Users\evzen\OneDrive\Dokumenty\RTD_repo\Documents\txts\PrecRtdSim_Define.txt</t>
  </si>
  <si>
    <t>C:\Users\evzen\OneDrive\Dokumenty\RTD_repo\Documents\txts\PrecRtdSim_Storage.txt</t>
  </si>
  <si>
    <t>C:\Users\evzen\OneDrive\Dokumenty\RTD_repo\Documents\txts\PrecRtdSim_Factory.txt</t>
  </si>
  <si>
    <t>C:\Users\evzen\OneDrive\Dokumenty\RTD_repo\Documents\txts\reg_map.c</t>
  </si>
  <si>
    <t>C:\Users\evzen\OneDrive\Dokumenty\RTD_repo\Documents\txts\PrecRtdSim_Modbus.json</t>
  </si>
  <si>
    <t>C:\Users\evzen\OneDrive\Dokumenty\RTD_repo\Documents\txts\PrecRtdSimRegs.py</t>
  </si>
  <si>
    <t>C:\Users\evzen\OneDrive\Dokumenty\RTD_repo\Documents\txts\PrecRtdSim_registers.json</t>
  </si>
  <si>
    <t>C:\Users\evzen\OneDrive\Dokumenty\RTD_repo\Tests\prec-rtd-sim\</t>
  </si>
  <si>
    <t>C:\Users\evzen\OneDrive\Dokumenty\RTD_repo\Firmware\PrecRtdSim-APP\Core\Serial\</t>
  </si>
  <si>
    <t>Temperature calibration</t>
  </si>
  <si>
    <t>RTD_CALIB_ON</t>
  </si>
  <si>
    <t>RTD_CALIB_OFF</t>
  </si>
  <si>
    <t>Calibration off</t>
  </si>
  <si>
    <t>Calibration on</t>
  </si>
  <si>
    <t>Calculate switch positions of resistors decade without temperature correction</t>
  </si>
  <si>
    <t>Calculate switch positions of resistors decade with temperature correction</t>
  </si>
  <si>
    <t>TEMP_CORRECTION</t>
  </si>
  <si>
    <t>Temperature corection mode - recalculates decade resistance values ​​based on current temperature</t>
  </si>
  <si>
    <t>SLEWRATE</t>
  </si>
  <si>
    <t>SLEWRATE_MAX</t>
  </si>
  <si>
    <t>SLEWRATE_MIN</t>
  </si>
  <si>
    <t>SLEWRATE_MODE</t>
  </si>
  <si>
    <t>RTD_SLEWRATE_OFF</t>
  </si>
  <si>
    <t>RTD_SLEWRATE_ON</t>
  </si>
  <si>
    <t>Temp slew rate mode</t>
  </si>
  <si>
    <t>Slew rate off</t>
  </si>
  <si>
    <t>Slew rate on</t>
  </si>
  <si>
    <t>°C/s</t>
  </si>
  <si>
    <t>Temperature slew rate mode ON</t>
  </si>
  <si>
    <t>Temperature slew rate mode OFF</t>
  </si>
  <si>
    <t>Temperature slew rate in °C/s</t>
  </si>
  <si>
    <t xml:space="preserve">Temperature slew rate </t>
  </si>
  <si>
    <t>Temperature slew rate MODE</t>
  </si>
  <si>
    <t>Maximum temperature in SR mode</t>
  </si>
  <si>
    <t>Min temperature in SR mode</t>
  </si>
  <si>
    <t>Max temperature in SR mode</t>
  </si>
  <si>
    <t>Minimum temperature in SR 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</si>
</sst>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1304925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9</xdr:col>
          <xdr:colOff>1304925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9</xdr:col>
          <xdr:colOff>1304925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A15" zoomScale="95" zoomScaleNormal="100" workbookViewId="0">
      <selection activeCell="K85" sqref="K85"/>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112.5703125" style="10" customWidth="1"/>
    <col min="7" max="7" width="6.85546875" style="10" customWidth="1"/>
    <col min="8" max="8" width="5.42578125" style="10" customWidth="1"/>
    <col min="9" max="9" width="8.42578125" style="10" customWidth="1"/>
    <col min="10" max="10" width="21.28515625" style="10" customWidth="1"/>
    <col min="11" max="11" width="14.42578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280</v>
      </c>
      <c r="T3" s="31"/>
    </row>
    <row r="4" spans="1:26" ht="24.95" customHeight="1" x14ac:dyDescent="0.25">
      <c r="D4" s="31" t="s">
        <v>18</v>
      </c>
      <c r="E4" s="31"/>
      <c r="F4" s="31" t="s">
        <v>113</v>
      </c>
      <c r="J4" s="3" t="s">
        <v>1</v>
      </c>
      <c r="K4" s="9" t="s">
        <v>5</v>
      </c>
      <c r="L4" s="8" t="s">
        <v>277</v>
      </c>
      <c r="M4" s="11"/>
      <c r="U4" s="12" t="s">
        <v>1</v>
      </c>
      <c r="Z4" s="10"/>
    </row>
    <row r="5" spans="1:26" ht="24.95" customHeight="1" x14ac:dyDescent="0.25">
      <c r="D5" s="31" t="s">
        <v>19</v>
      </c>
      <c r="E5" s="31"/>
      <c r="F5" s="31" t="s">
        <v>20</v>
      </c>
      <c r="J5" s="3" t="s">
        <v>1</v>
      </c>
      <c r="K5" s="9" t="s">
        <v>100</v>
      </c>
      <c r="L5" s="8" t="s">
        <v>182</v>
      </c>
      <c r="M5" s="11"/>
      <c r="U5" s="12" t="s">
        <v>1</v>
      </c>
      <c r="Z5" s="10"/>
    </row>
    <row r="6" spans="1:26" ht="24.95" customHeight="1" x14ac:dyDescent="0.25">
      <c r="D6" s="31" t="s">
        <v>63</v>
      </c>
      <c r="E6" s="13"/>
      <c r="F6" s="32">
        <v>1</v>
      </c>
      <c r="J6" s="3" t="s">
        <v>1</v>
      </c>
      <c r="K6" s="9" t="s">
        <v>17</v>
      </c>
      <c r="L6" s="8" t="s">
        <v>278</v>
      </c>
      <c r="M6" s="11"/>
      <c r="U6" s="12" t="s">
        <v>1</v>
      </c>
      <c r="Z6" s="10"/>
    </row>
    <row r="7" spans="1:26" ht="24.95" customHeight="1" x14ac:dyDescent="0.25">
      <c r="D7" s="31" t="s">
        <v>143</v>
      </c>
      <c r="E7" s="13"/>
      <c r="F7" s="31" t="str">
        <f>GetWorkName()</f>
        <v>PrecRtdSim</v>
      </c>
      <c r="J7" s="3" t="s">
        <v>1</v>
      </c>
      <c r="K7" s="9" t="s">
        <v>21</v>
      </c>
      <c r="L7" s="8" t="s">
        <v>279</v>
      </c>
      <c r="M7" s="11"/>
      <c r="U7" s="12" t="s">
        <v>1</v>
      </c>
      <c r="Z7" s="10"/>
    </row>
    <row r="8" spans="1:26" ht="24.95" customHeight="1" x14ac:dyDescent="0.25">
      <c r="D8" s="31" t="s">
        <v>117</v>
      </c>
      <c r="E8" s="13"/>
      <c r="F8" s="31" t="str">
        <f>GetPath()&amp;"\..\Firmware\PrecRtdSim-APP\Core\Common\"</f>
        <v>C:\Users\evzen\OneDrive\Dokumenty\RTD_repo\Documents\..\Firmware\PrecRtdSim-APP\Core\Common\</v>
      </c>
      <c r="J8" s="3" t="s">
        <v>1</v>
      </c>
      <c r="K8" s="9" t="s">
        <v>145</v>
      </c>
      <c r="L8" s="8" t="s">
        <v>281</v>
      </c>
      <c r="M8" s="11"/>
      <c r="U8" s="12" t="s">
        <v>1</v>
      </c>
      <c r="Z8" s="10"/>
    </row>
    <row r="9" spans="1:26" ht="24.95" customHeight="1" x14ac:dyDescent="0.25">
      <c r="D9" s="31" t="s">
        <v>148</v>
      </c>
      <c r="E9" s="13"/>
      <c r="F9" s="31" t="s">
        <v>285</v>
      </c>
      <c r="J9" s="3"/>
      <c r="K9" s="9" t="s">
        <v>1</v>
      </c>
      <c r="L9" s="8" t="s">
        <v>282</v>
      </c>
      <c r="M9" s="11"/>
      <c r="Z9" s="10"/>
    </row>
    <row r="10" spans="1:26" ht="24.95" customHeight="1" x14ac:dyDescent="0.25">
      <c r="D10" s="31" t="s">
        <v>153</v>
      </c>
      <c r="E10" s="13"/>
      <c r="F10" s="31" t="s">
        <v>284</v>
      </c>
      <c r="K10" s="9" t="s">
        <v>154</v>
      </c>
      <c r="L10" s="8" t="s">
        <v>283</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5"/>
      <c r="B16" s="45"/>
      <c r="C16" s="44"/>
      <c r="D16" s="47" t="s">
        <v>8</v>
      </c>
      <c r="E16" s="49" t="s">
        <v>33</v>
      </c>
      <c r="F16" s="42" t="s">
        <v>10</v>
      </c>
      <c r="G16" s="42" t="s">
        <v>39</v>
      </c>
      <c r="H16" s="42" t="s">
        <v>11</v>
      </c>
      <c r="I16" s="47" t="s">
        <v>0</v>
      </c>
      <c r="J16" s="42" t="s">
        <v>13</v>
      </c>
      <c r="K16" s="47" t="s">
        <v>16</v>
      </c>
      <c r="L16" s="47" t="s">
        <v>2</v>
      </c>
      <c r="M16" s="55" t="s">
        <v>134</v>
      </c>
      <c r="N16" s="42" t="s">
        <v>14</v>
      </c>
      <c r="O16" s="52" t="s">
        <v>118</v>
      </c>
      <c r="P16" s="52" t="s">
        <v>119</v>
      </c>
      <c r="Q16" s="52" t="s">
        <v>123</v>
      </c>
      <c r="R16" s="52" t="s">
        <v>149</v>
      </c>
      <c r="S16" s="54" t="s">
        <v>101</v>
      </c>
      <c r="T16" s="51" t="s">
        <v>4</v>
      </c>
    </row>
    <row r="17" spans="1:20" ht="15" customHeight="1" x14ac:dyDescent="0.25">
      <c r="A17" s="46"/>
      <c r="B17" s="46"/>
      <c r="C17" s="44"/>
      <c r="D17" s="48"/>
      <c r="E17" s="50"/>
      <c r="F17" s="43"/>
      <c r="G17" s="43"/>
      <c r="H17" s="43"/>
      <c r="I17" s="48"/>
      <c r="J17" s="43"/>
      <c r="K17" s="48"/>
      <c r="L17" s="48"/>
      <c r="M17" s="56"/>
      <c r="N17" s="48"/>
      <c r="O17" s="53"/>
      <c r="P17" s="53"/>
      <c r="Q17" s="57"/>
      <c r="R17" s="57"/>
      <c r="S17" s="53"/>
      <c r="T17" s="50"/>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192</v>
      </c>
      <c r="M24" t="s">
        <v>193</v>
      </c>
      <c r="N24" s="29"/>
      <c r="O24" s="29"/>
      <c r="P24" s="29"/>
      <c r="Q24" s="29"/>
      <c r="R24" s="29"/>
      <c r="T24" t="s">
        <v>194</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195</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196</v>
      </c>
      <c r="N29" s="29"/>
      <c r="O29" s="29">
        <v>0</v>
      </c>
      <c r="P29" s="3" t="s">
        <v>197</v>
      </c>
      <c r="Q29" s="29"/>
      <c r="R29" s="29"/>
      <c r="T29" t="s">
        <v>198</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199</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200</v>
      </c>
      <c r="N44" s="29">
        <v>1</v>
      </c>
      <c r="O44" s="29">
        <v>0</v>
      </c>
      <c r="P44" s="29">
        <v>4</v>
      </c>
      <c r="Q44" s="29"/>
      <c r="R44" s="29"/>
      <c r="S44" s="29"/>
      <c r="T44" t="s">
        <v>201</v>
      </c>
    </row>
    <row r="45" spans="1:23" s="34" customFormat="1" x14ac:dyDescent="0.2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202</v>
      </c>
      <c r="M45" s="41">
        <v>9600</v>
      </c>
      <c r="N45" s="29"/>
      <c r="O45" s="29"/>
      <c r="P45" s="29"/>
      <c r="Q45" s="29"/>
      <c r="R45" s="29"/>
      <c r="S45" s="29"/>
      <c r="T45" t="s">
        <v>203</v>
      </c>
    </row>
    <row r="46" spans="1:23" s="34" customFormat="1" x14ac:dyDescent="0.2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204</v>
      </c>
      <c r="M46" s="41">
        <v>19200</v>
      </c>
      <c r="N46" s="29"/>
      <c r="O46" s="29"/>
      <c r="P46" s="29"/>
      <c r="Q46" s="29"/>
      <c r="R46" s="29"/>
      <c r="S46" s="29"/>
      <c r="T46" t="s">
        <v>205</v>
      </c>
    </row>
    <row r="47" spans="1:23" s="34" customFormat="1" x14ac:dyDescent="0.2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206</v>
      </c>
      <c r="M47" s="41">
        <v>38400</v>
      </c>
      <c r="N47" s="29"/>
      <c r="O47" s="29"/>
      <c r="P47" s="29"/>
      <c r="Q47" s="29"/>
      <c r="R47" s="29"/>
      <c r="S47" s="29"/>
      <c r="T47" t="s">
        <v>207</v>
      </c>
    </row>
    <row r="48" spans="1:23" s="34" customFormat="1" x14ac:dyDescent="0.2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208</v>
      </c>
      <c r="M48" s="41">
        <v>57600</v>
      </c>
      <c r="N48" s="29"/>
      <c r="O48" s="29"/>
      <c r="P48" s="29"/>
      <c r="Q48" s="29"/>
      <c r="R48" s="29"/>
      <c r="S48" s="29"/>
      <c r="T48" t="s">
        <v>209</v>
      </c>
    </row>
    <row r="49" spans="4:26" s="34" customFormat="1" x14ac:dyDescent="0.2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210</v>
      </c>
      <c r="M49" s="41">
        <v>115200</v>
      </c>
      <c r="N49" s="29"/>
      <c r="O49" s="29"/>
      <c r="P49" s="29"/>
      <c r="Q49" s="29"/>
      <c r="R49" s="29"/>
      <c r="S49" s="29"/>
      <c r="T49" t="s">
        <v>211</v>
      </c>
    </row>
    <row r="50" spans="4:26" s="34" customFormat="1" x14ac:dyDescent="0.25">
      <c r="D50" s="40"/>
      <c r="E50" t="s">
        <v>212</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213</v>
      </c>
      <c r="N50" s="29">
        <v>1</v>
      </c>
      <c r="O50" s="29">
        <v>0</v>
      </c>
      <c r="P50" s="29">
        <v>2</v>
      </c>
      <c r="Q50" s="29"/>
      <c r="R50" s="29"/>
      <c r="S50" s="29"/>
      <c r="T50" t="s">
        <v>214</v>
      </c>
    </row>
    <row r="51" spans="4:26" s="34" customFormat="1" x14ac:dyDescent="0.2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215</v>
      </c>
      <c r="M51" s="41" t="s">
        <v>216</v>
      </c>
      <c r="N51" s="29"/>
      <c r="O51" s="29"/>
      <c r="P51" s="29"/>
      <c r="Q51" s="29"/>
      <c r="R51" s="29"/>
      <c r="S51" s="29"/>
      <c r="T51" t="s">
        <v>217</v>
      </c>
    </row>
    <row r="52" spans="4:26" s="34" customFormat="1" x14ac:dyDescent="0.2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218</v>
      </c>
      <c r="M52" t="s">
        <v>219</v>
      </c>
      <c r="N52" s="29"/>
      <c r="O52" s="29"/>
      <c r="P52" s="29"/>
      <c r="Q52" s="29"/>
      <c r="R52" s="29"/>
      <c r="S52" s="29"/>
      <c r="T52" t="s">
        <v>220</v>
      </c>
    </row>
    <row r="53" spans="4:26" s="34" customFormat="1" x14ac:dyDescent="0.2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221</v>
      </c>
      <c r="M53" t="s">
        <v>222</v>
      </c>
      <c r="N53" s="29"/>
      <c r="O53" s="29"/>
      <c r="P53" s="29"/>
      <c r="Q53" s="29"/>
      <c r="R53" s="29"/>
      <c r="S53" s="29"/>
      <c r="T53" t="s">
        <v>223</v>
      </c>
    </row>
    <row r="54" spans="4:26" s="34" customFormat="1" x14ac:dyDescent="0.25">
      <c r="D54" s="40"/>
      <c r="E54" t="s">
        <v>224</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225</v>
      </c>
      <c r="N54" s="29">
        <v>0</v>
      </c>
      <c r="O54" s="29">
        <v>0</v>
      </c>
      <c r="P54" s="29">
        <v>1</v>
      </c>
      <c r="Q54" s="29"/>
      <c r="R54" s="29"/>
      <c r="S54" s="29"/>
      <c r="T54" t="s">
        <v>226</v>
      </c>
    </row>
    <row r="55" spans="4:26" s="34" customFormat="1" x14ac:dyDescent="0.2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227</v>
      </c>
      <c r="M55" t="s">
        <v>228</v>
      </c>
      <c r="N55" s="29"/>
      <c r="O55" s="29"/>
      <c r="P55" s="29"/>
      <c r="Q55" s="29"/>
      <c r="R55" s="29"/>
      <c r="S55" s="29"/>
      <c r="T55" t="s">
        <v>228</v>
      </c>
    </row>
    <row r="56" spans="4:26" s="34" customFormat="1" x14ac:dyDescent="0.2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229</v>
      </c>
      <c r="M56" t="s">
        <v>230</v>
      </c>
      <c r="N56" s="29"/>
      <c r="O56" s="29"/>
      <c r="P56" s="29"/>
      <c r="Q56" s="29"/>
      <c r="R56" s="29"/>
      <c r="S56" s="29"/>
      <c r="T56" t="s">
        <v>230</v>
      </c>
    </row>
    <row r="57" spans="4:26" s="34" customFormat="1" x14ac:dyDescent="0.25">
      <c r="D57" s="40"/>
      <c r="E57" t="s">
        <v>231</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232</v>
      </c>
      <c r="S57" s="29"/>
      <c r="T57"/>
    </row>
    <row r="58" spans="4:26" s="34" customFormat="1" x14ac:dyDescent="0.25">
      <c r="D58" s="40"/>
      <c r="E58" t="s">
        <v>233</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234</v>
      </c>
      <c r="N58" s="29">
        <v>32</v>
      </c>
      <c r="O58" s="29">
        <v>32</v>
      </c>
      <c r="P58" s="29">
        <v>63</v>
      </c>
      <c r="Q58" s="29"/>
      <c r="R58" s="29" t="s">
        <v>232</v>
      </c>
      <c r="S58" s="29"/>
      <c r="T58" t="s">
        <v>235</v>
      </c>
    </row>
    <row r="59" spans="4:26" s="34" customFormat="1" x14ac:dyDescent="0.25">
      <c r="D59" s="40"/>
      <c r="E59" t="s">
        <v>236</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237</v>
      </c>
      <c r="N59" s="29"/>
      <c r="O59" s="29">
        <v>0</v>
      </c>
      <c r="P59" s="29">
        <v>1</v>
      </c>
      <c r="Q59" s="29"/>
      <c r="R59" s="29"/>
      <c r="S59" s="29"/>
      <c r="T59" t="s">
        <v>238</v>
      </c>
    </row>
    <row r="60" spans="4:26" s="34" customFormat="1" x14ac:dyDescent="0.25">
      <c r="D60" s="40"/>
      <c r="E60" t="s">
        <v>239</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193</v>
      </c>
      <c r="N60" s="29">
        <v>10</v>
      </c>
      <c r="O60" s="29">
        <v>0</v>
      </c>
      <c r="P60" s="29">
        <v>7200</v>
      </c>
      <c r="Q60" s="3" t="s">
        <v>124</v>
      </c>
      <c r="R60" s="29"/>
      <c r="S60" s="29"/>
      <c r="T60" t="s">
        <v>240</v>
      </c>
    </row>
    <row r="61" spans="4:26" s="34" customFormat="1" x14ac:dyDescent="0.25">
      <c r="D61" s="40"/>
      <c r="F61" s="29"/>
      <c r="I61" s="33"/>
      <c r="K61" s="10"/>
      <c r="N61" s="29"/>
      <c r="O61" s="29"/>
      <c r="P61" s="29"/>
      <c r="Q61" s="29"/>
      <c r="R61" s="29"/>
    </row>
    <row r="62" spans="4:26" x14ac:dyDescent="0.25">
      <c r="E62"/>
      <c r="F62" s="3"/>
      <c r="G62" s="3"/>
      <c r="H62" s="3"/>
      <c r="I62" s="33"/>
      <c r="K62" s="10"/>
      <c r="L62" s="3"/>
      <c r="M62"/>
      <c r="N62" s="3"/>
      <c r="Q62" s="3"/>
      <c r="T62"/>
      <c r="Z62" s="34"/>
    </row>
    <row r="63" spans="4:26" s="34" customFormat="1" x14ac:dyDescent="0.25">
      <c r="D63" s="40"/>
    </row>
    <row r="64" spans="4:26" s="34" customFormat="1" x14ac:dyDescent="0.25">
      <c r="D64" s="40"/>
    </row>
    <row r="65" spans="1:35" s="34" customFormat="1" x14ac:dyDescent="0.25">
      <c r="D65" s="40"/>
    </row>
    <row r="66" spans="1:35" s="34" customFormat="1" x14ac:dyDescent="0.25">
      <c r="D66" s="40"/>
      <c r="E66" t="s">
        <v>246</v>
      </c>
      <c r="F66" s="3" t="s">
        <v>189</v>
      </c>
      <c r="G66" s="3" t="s">
        <v>114</v>
      </c>
      <c r="H66" s="3" t="s">
        <v>50</v>
      </c>
      <c r="I66" s="33">
        <f>I65+J65</f>
        <v>0</v>
      </c>
      <c r="J66" s="29">
        <v>1</v>
      </c>
      <c r="K66" s="10" t="str">
        <f xml:space="preserve"> IFERROR("0x" &amp; DEC2HEX(VLOOKUP(F66,Common!$C$10:$D$34,2,FALSE),2) &amp; DEC2HEX(I66,3) &amp; DEC2HEX(VLOOKUP(G66,Common!$C$51:$D$55,2,FALSE),1) &amp; DEC2HEX(1+2*VLOOKUP(H66,Common!$C$69:$D$72,2,FALSE),1) &amp; DEC2HEX(IFERROR(LOG(J66,2),0),1),0)</f>
        <v>0x05000550</v>
      </c>
      <c r="L66" s="29" t="str">
        <f t="shared" ref="L66" si="7">IF(AND(LEN(E66)&lt;&gt;0,S66=""),F66&amp;"_"&amp;UPPER(E66),"")</f>
        <v>RTD_MODE</v>
      </c>
      <c r="M66" t="s">
        <v>261</v>
      </c>
      <c r="N66" s="29"/>
      <c r="O66" s="29">
        <v>0</v>
      </c>
      <c r="P66" s="29">
        <v>2</v>
      </c>
      <c r="Q66" s="29"/>
      <c r="R66" s="3" t="s">
        <v>262</v>
      </c>
      <c r="T66" t="s">
        <v>263</v>
      </c>
    </row>
    <row r="67" spans="1:35" s="34" customFormat="1" x14ac:dyDescent="0.25">
      <c r="D67" s="40"/>
      <c r="E67"/>
      <c r="F67" s="3"/>
      <c r="G67" s="3"/>
      <c r="H67" s="3"/>
      <c r="I67" s="33">
        <f t="shared" ref="I67:I69" si="8">I66+J66</f>
        <v>1</v>
      </c>
      <c r="J67" s="29"/>
      <c r="K67" s="10">
        <f xml:space="preserve"> IFERROR("0x" &amp; DEC2HEX(VLOOKUP(F67,Common!$C$10:$D$34,2,FALSE),2) &amp; DEC2HEX(I67,3) &amp; DEC2HEX(VLOOKUP(G67,Common!$C$51:$D$55,2,FALSE),1) &amp; DEC2HEX(1+2*VLOOKUP(H67,Common!$C$69:$D$72,2,FALSE),1) &amp; DEC2HEX(IFERROR(LOG(J67,2),0),1),0)</f>
        <v>0</v>
      </c>
      <c r="L67" s="3" t="s">
        <v>274</v>
      </c>
      <c r="M67" t="s">
        <v>264</v>
      </c>
      <c r="N67" s="29"/>
      <c r="O67" s="29"/>
      <c r="P67" s="29"/>
      <c r="Q67" s="29"/>
      <c r="R67" s="29"/>
      <c r="T67" t="s">
        <v>265</v>
      </c>
    </row>
    <row r="68" spans="1:35" s="10" customFormat="1" x14ac:dyDescent="0.25">
      <c r="A68" s="12"/>
      <c r="B68" s="12"/>
      <c r="C68" s="12"/>
      <c r="D68"/>
      <c r="E68"/>
      <c r="F68" s="3"/>
      <c r="G68" s="3"/>
      <c r="H68" s="3"/>
      <c r="I68" s="33">
        <f t="shared" si="8"/>
        <v>1</v>
      </c>
      <c r="J68" s="29"/>
      <c r="K68" s="10">
        <f xml:space="preserve"> IFERROR("0x" &amp; DEC2HEX(VLOOKUP(F68,Common!$C$10:$D$34,2,FALSE),2) &amp; DEC2HEX(I68,3) &amp; DEC2HEX(VLOOKUP(G68,Common!$C$51:$D$55,2,FALSE),1) &amp; DEC2HEX(1+2*VLOOKUP(H68,Common!$C$69:$D$72,2,FALSE),1) &amp; DEC2HEX(IFERROR(LOG(J68,2),0),1),0)</f>
        <v>0</v>
      </c>
      <c r="L68" s="3" t="s">
        <v>275</v>
      </c>
      <c r="M68" t="s">
        <v>266</v>
      </c>
      <c r="N68" s="29"/>
      <c r="O68" s="29"/>
      <c r="P68" s="29"/>
      <c r="Q68" s="29"/>
      <c r="R68" s="29"/>
      <c r="S68" s="34"/>
      <c r="T68" t="s">
        <v>267</v>
      </c>
      <c r="U68" s="34"/>
      <c r="V68" s="34"/>
      <c r="W68" s="34"/>
      <c r="X68" s="34"/>
      <c r="Y68" s="34"/>
      <c r="Z68" s="34"/>
      <c r="AA68" s="12"/>
      <c r="AB68" s="12"/>
      <c r="AC68" s="12"/>
      <c r="AD68" s="12"/>
      <c r="AE68" s="12"/>
      <c r="AF68" s="12"/>
      <c r="AG68" s="12"/>
      <c r="AH68" s="12"/>
      <c r="AI68" s="12"/>
    </row>
    <row r="69" spans="1:35" s="34" customFormat="1" x14ac:dyDescent="0.25">
      <c r="D69" s="40"/>
      <c r="E69"/>
      <c r="F69" s="3"/>
      <c r="G69" s="3"/>
      <c r="H69" s="3"/>
      <c r="I69" s="33">
        <f t="shared" si="8"/>
        <v>1</v>
      </c>
      <c r="J69" s="29"/>
      <c r="K69" s="10">
        <f xml:space="preserve"> IFERROR("0x" &amp; DEC2HEX(VLOOKUP(F69,Common!$C$10:$D$34,2,FALSE),2) &amp; DEC2HEX(I69,3) &amp; DEC2HEX(VLOOKUP(G69,Common!$C$51:$D$55,2,FALSE),1) &amp; DEC2HEX(1+2*VLOOKUP(H69,Common!$C$69:$D$72,2,FALSE),1) &amp; DEC2HEX(IFERROR(LOG(J69,2),0),1),0)</f>
        <v>0</v>
      </c>
      <c r="L69" s="3" t="s">
        <v>276</v>
      </c>
      <c r="M69" t="s">
        <v>268</v>
      </c>
      <c r="N69" s="29"/>
      <c r="O69" s="29"/>
      <c r="P69" s="29"/>
      <c r="Q69" s="29"/>
      <c r="R69" s="29"/>
      <c r="T69" t="s">
        <v>269</v>
      </c>
    </row>
    <row r="70" spans="1:35" s="34" customFormat="1" x14ac:dyDescent="0.25">
      <c r="D70" s="40"/>
      <c r="E70" s="24" t="s">
        <v>293</v>
      </c>
      <c r="F70" s="23" t="s">
        <v>189</v>
      </c>
      <c r="G70" s="23" t="s">
        <v>114</v>
      </c>
      <c r="H70" s="26" t="s">
        <v>50</v>
      </c>
      <c r="I70" s="33">
        <f t="shared" ref="I70:I77" si="9">I69+J69</f>
        <v>1</v>
      </c>
      <c r="J70" s="29">
        <v>1</v>
      </c>
      <c r="K70" s="10" t="str">
        <f xml:space="preserve"> IFERROR("0x" &amp; DEC2HEX(VLOOKUP(F70,Common!$C$10:$D$34,2,FALSE),2) &amp; DEC2HEX(I70,3) &amp; DEC2HEX(VLOOKUP(G70,Common!$C$51:$D$55,2,FALSE),1) &amp; DEC2HEX(1+2*VLOOKUP(H70,Common!$C$69:$D$72,2,FALSE),1) &amp; DEC2HEX(IFERROR(LOG(J70,2),0),1),0)</f>
        <v>0x05001550</v>
      </c>
      <c r="L70" s="22" t="str">
        <f>IF(AND(LEN(E70)&lt;&gt;0,S70=""),F70&amp;"_"&amp;UPPER(E70),"")</f>
        <v>RTD_TEMP_CORRECTION</v>
      </c>
      <c r="M70" s="21" t="s">
        <v>286</v>
      </c>
      <c r="N70" s="22">
        <v>0</v>
      </c>
      <c r="O70" s="22">
        <v>0</v>
      </c>
      <c r="P70" s="22">
        <v>1</v>
      </c>
      <c r="Q70" s="23"/>
      <c r="R70" s="23"/>
      <c r="S70" s="22"/>
      <c r="T70" s="21" t="s">
        <v>294</v>
      </c>
      <c r="U70"/>
    </row>
    <row r="71" spans="1:35" s="34" customFormat="1" x14ac:dyDescent="0.25">
      <c r="D71" s="40"/>
      <c r="E71" s="24"/>
      <c r="F71" s="23" t="s">
        <v>189</v>
      </c>
      <c r="G71" s="23"/>
      <c r="H71" s="26"/>
      <c r="I71" s="33">
        <f t="shared" si="9"/>
        <v>2</v>
      </c>
      <c r="J71" s="22"/>
      <c r="K71" s="10">
        <f xml:space="preserve"> IFERROR("0x" &amp; DEC2HEX(VLOOKUP(F71,Common!$C$10:$D$34,2,FALSE),2) &amp; DEC2HEX(I71,3) &amp; DEC2HEX(VLOOKUP(G71,Common!$C$51:$D$55,2,FALSE),1) &amp; DEC2HEX(1+2*VLOOKUP(H71,Common!$C$69:$D$72,2,FALSE),1) &amp; DEC2HEX(IFERROR(LOG(J71,2),0),1),0)</f>
        <v>0</v>
      </c>
      <c r="L71" s="23" t="s">
        <v>288</v>
      </c>
      <c r="M71" s="21" t="s">
        <v>289</v>
      </c>
      <c r="N71" s="22"/>
      <c r="O71" s="22"/>
      <c r="P71" s="22"/>
      <c r="Q71" s="23"/>
      <c r="R71" s="23"/>
      <c r="S71" s="22"/>
      <c r="T71" s="21" t="s">
        <v>291</v>
      </c>
      <c r="U71"/>
    </row>
    <row r="72" spans="1:35" s="34" customFormat="1" x14ac:dyDescent="0.25">
      <c r="D72" s="40"/>
      <c r="F72" s="3" t="s">
        <v>189</v>
      </c>
      <c r="I72" s="33">
        <f t="shared" si="9"/>
        <v>2</v>
      </c>
      <c r="K72" s="10">
        <f xml:space="preserve"> IFERROR("0x" &amp; DEC2HEX(VLOOKUP(F72,Common!$C$10:$D$34,2,FALSE),2) &amp; DEC2HEX(I72,3) &amp; DEC2HEX(VLOOKUP(G72,Common!$C$51:$D$55,2,FALSE),1) &amp; DEC2HEX(1+2*VLOOKUP(H72,Common!$C$69:$D$72,2,FALSE),1) &amp; DEC2HEX(IFERROR(LOG(J72,2),0),1),0)</f>
        <v>0</v>
      </c>
      <c r="L72" s="23" t="s">
        <v>287</v>
      </c>
      <c r="M72" s="34" t="s">
        <v>290</v>
      </c>
      <c r="T72" s="21" t="s">
        <v>292</v>
      </c>
    </row>
    <row r="73" spans="1:35" s="34" customFormat="1" x14ac:dyDescent="0.25">
      <c r="D73" s="40"/>
      <c r="E73" t="s">
        <v>250</v>
      </c>
      <c r="F73" s="3" t="s">
        <v>189</v>
      </c>
      <c r="G73" s="3" t="s">
        <v>48</v>
      </c>
      <c r="H73" s="3" t="s">
        <v>50</v>
      </c>
      <c r="I73" s="33">
        <f t="shared" si="9"/>
        <v>2</v>
      </c>
      <c r="J73" s="29">
        <v>2</v>
      </c>
      <c r="K73" s="10" t="str">
        <f xml:space="preserve"> IFERROR("0x" &amp; DEC2HEX(VLOOKUP(F73,Common!$C$10:$D$34,2,FALSE),2) &amp; DEC2HEX(I73,3) &amp; DEC2HEX(VLOOKUP(G73,Common!$C$51:$D$55,2,FALSE),1) &amp; DEC2HEX(1+2*VLOOKUP(H73,Common!$C$69:$D$72,2,FALSE),1) &amp; DEC2HEX(IFERROR(LOG(J73,2),0),1),0)</f>
        <v>0x05002151</v>
      </c>
      <c r="L73" s="29" t="str">
        <f t="shared" ref="L73:L78" si="10">IF(AND(LEN(E73)&lt;&gt;0,S73=""),F73&amp;"_"&amp;UPPER(E73),"")</f>
        <v>RTD_NTC_BETA</v>
      </c>
      <c r="M73" t="s">
        <v>251</v>
      </c>
      <c r="N73" s="29">
        <v>3977</v>
      </c>
      <c r="O73" s="29">
        <v>3000</v>
      </c>
      <c r="P73" s="29">
        <v>5500</v>
      </c>
      <c r="Q73" s="29"/>
      <c r="R73" s="29"/>
      <c r="S73" s="29"/>
      <c r="T73" t="s">
        <v>252</v>
      </c>
      <c r="Z73" s="12"/>
    </row>
    <row r="74" spans="1:35" s="34" customFormat="1" x14ac:dyDescent="0.25">
      <c r="D74" s="40"/>
      <c r="E74" t="s">
        <v>253</v>
      </c>
      <c r="F74" s="3" t="s">
        <v>189</v>
      </c>
      <c r="G74" s="3" t="s">
        <v>48</v>
      </c>
      <c r="H74" s="3" t="s">
        <v>50</v>
      </c>
      <c r="I74" s="33">
        <f t="shared" si="9"/>
        <v>4</v>
      </c>
      <c r="J74" s="29">
        <v>2</v>
      </c>
      <c r="K74" s="10" t="str">
        <f xml:space="preserve"> IFERROR("0x" &amp; DEC2HEX(VLOOKUP(F74,Common!$C$10:$D$34,2,FALSE),2) &amp; DEC2HEX(I74,3) &amp; DEC2HEX(VLOOKUP(G74,Common!$C$51:$D$55,2,FALSE),1) &amp; DEC2HEX(1+2*VLOOKUP(H74,Common!$C$69:$D$72,2,FALSE),1) &amp; DEC2HEX(IFERROR(LOG(J74,2),0),1),0)</f>
        <v>0x05004151</v>
      </c>
      <c r="L74" s="29" t="str">
        <f t="shared" si="10"/>
        <v>RTD_NTC_STOCK_RES</v>
      </c>
      <c r="M74" t="s">
        <v>254</v>
      </c>
      <c r="N74" s="29">
        <v>10000</v>
      </c>
      <c r="O74" s="29">
        <v>1000</v>
      </c>
      <c r="P74" s="29">
        <v>10000</v>
      </c>
      <c r="Q74" s="3" t="s">
        <v>249</v>
      </c>
      <c r="R74" s="29"/>
      <c r="S74" s="29"/>
      <c r="T74" t="s">
        <v>255</v>
      </c>
      <c r="Z74" s="12"/>
    </row>
    <row r="75" spans="1:35" s="34" customFormat="1" x14ac:dyDescent="0.25">
      <c r="D75" s="40"/>
      <c r="E75" t="s">
        <v>256</v>
      </c>
      <c r="F75" s="3" t="s">
        <v>189</v>
      </c>
      <c r="G75" s="3" t="s">
        <v>48</v>
      </c>
      <c r="H75" s="3" t="s">
        <v>50</v>
      </c>
      <c r="I75" s="33">
        <f t="shared" si="9"/>
        <v>6</v>
      </c>
      <c r="J75" s="29">
        <v>2</v>
      </c>
      <c r="K75" s="10" t="str">
        <f xml:space="preserve"> IFERROR("0x" &amp; DEC2HEX(VLOOKUP(F75,Common!$C$10:$D$34,2,FALSE),2) &amp; DEC2HEX(I75,3) &amp; DEC2HEX(VLOOKUP(G75,Common!$C$51:$D$55,2,FALSE),1) &amp; DEC2HEX(1+2*VLOOKUP(H75,Common!$C$69:$D$72,2,FALSE),1) &amp; DEC2HEX(IFERROR(LOG(J75,2),0),1),0)</f>
        <v>0x05006151</v>
      </c>
      <c r="L75" s="29" t="str">
        <f t="shared" si="10"/>
        <v>RTD_PT_STOCK_RES</v>
      </c>
      <c r="M75" t="s">
        <v>257</v>
      </c>
      <c r="N75" s="29">
        <v>1000</v>
      </c>
      <c r="O75" s="29">
        <v>100</v>
      </c>
      <c r="P75" s="29">
        <v>1000</v>
      </c>
      <c r="Q75" s="3" t="s">
        <v>249</v>
      </c>
      <c r="R75" s="29"/>
      <c r="T75" t="s">
        <v>258</v>
      </c>
    </row>
    <row r="76" spans="1:35" s="34" customFormat="1" x14ac:dyDescent="0.25">
      <c r="D76" s="40"/>
      <c r="E76" t="s">
        <v>270</v>
      </c>
      <c r="F76" s="3" t="s">
        <v>189</v>
      </c>
      <c r="G76" s="3" t="s">
        <v>48</v>
      </c>
      <c r="H76" s="3" t="s">
        <v>50</v>
      </c>
      <c r="I76" s="33">
        <f t="shared" si="9"/>
        <v>8</v>
      </c>
      <c r="J76" s="29">
        <v>4</v>
      </c>
      <c r="K76" s="10" t="str">
        <f xml:space="preserve"> IFERROR("0x" &amp; DEC2HEX(VLOOKUP(F76,Common!$C$10:$D$34,2,FALSE),2) &amp; DEC2HEX(I76,3) &amp; DEC2HEX(VLOOKUP(G76,Common!$C$51:$D$55,2,FALSE),1) &amp; DEC2HEX(1+2*VLOOKUP(H76,Common!$C$69:$D$72,2,FALSE),1) &amp; DEC2HEX(IFERROR(LOG(J76,2),0),1),0)</f>
        <v>0x05008152</v>
      </c>
      <c r="L76" s="29" t="str">
        <f t="shared" si="10"/>
        <v>RTD_RESISTANCE</v>
      </c>
      <c r="M76" t="s">
        <v>272</v>
      </c>
      <c r="N76" s="29">
        <v>10000</v>
      </c>
      <c r="O76" s="3">
        <v>10</v>
      </c>
      <c r="P76" s="29">
        <v>290000</v>
      </c>
      <c r="Q76" s="3" t="s">
        <v>249</v>
      </c>
      <c r="R76" s="3" t="s">
        <v>248</v>
      </c>
      <c r="T76" t="s">
        <v>259</v>
      </c>
      <c r="Z76" s="12"/>
    </row>
    <row r="77" spans="1:35" s="34" customFormat="1" x14ac:dyDescent="0.25">
      <c r="D77" s="40"/>
      <c r="E77" t="s">
        <v>271</v>
      </c>
      <c r="F77" s="3" t="s">
        <v>189</v>
      </c>
      <c r="G77" s="3" t="s">
        <v>49</v>
      </c>
      <c r="H77" s="3" t="s">
        <v>50</v>
      </c>
      <c r="I77" s="33">
        <f t="shared" si="9"/>
        <v>12</v>
      </c>
      <c r="J77" s="29">
        <v>4</v>
      </c>
      <c r="K77" s="10" t="str">
        <f xml:space="preserve"> IFERROR("0x" &amp; DEC2HEX(VLOOKUP(F77,Common!$C$10:$D$34,2,FALSE),2) &amp; DEC2HEX(I77,3) &amp; DEC2HEX(VLOOKUP(G77,Common!$C$51:$D$55,2,FALSE),1) &amp; DEC2HEX(1+2*VLOOKUP(H77,Common!$C$69:$D$72,2,FALSE),1) &amp; DEC2HEX(IFERROR(LOG(J77,2),0),1),0)</f>
        <v>0x0500C252</v>
      </c>
      <c r="L77" s="29" t="str">
        <f t="shared" si="10"/>
        <v>RTD_TEMPERATURE</v>
      </c>
      <c r="M77" t="s">
        <v>273</v>
      </c>
      <c r="N77" s="29">
        <v>25</v>
      </c>
      <c r="O77" s="3">
        <v>-30</v>
      </c>
      <c r="P77" s="29">
        <v>200</v>
      </c>
      <c r="Q77" s="3" t="s">
        <v>247</v>
      </c>
      <c r="R77" s="3" t="s">
        <v>248</v>
      </c>
      <c r="T77" t="s">
        <v>260</v>
      </c>
      <c r="Z77" s="12"/>
    </row>
    <row r="78" spans="1:35" s="34" customFormat="1" x14ac:dyDescent="0.25">
      <c r="D78" s="40"/>
      <c r="E78" s="24" t="s">
        <v>298</v>
      </c>
      <c r="F78" s="3" t="s">
        <v>189</v>
      </c>
      <c r="G78" s="3" t="s">
        <v>114</v>
      </c>
      <c r="H78" s="3" t="s">
        <v>50</v>
      </c>
      <c r="I78" s="33">
        <f t="shared" ref="I78:I85" si="11">I77+J77</f>
        <v>16</v>
      </c>
      <c r="J78" s="3">
        <v>1</v>
      </c>
      <c r="K78" s="10" t="str">
        <f xml:space="preserve"> IFERROR("0x" &amp; DEC2HEX(VLOOKUP(F78,Common!$C$10:$D$34,2,FALSE),2) &amp; DEC2HEX(I78,3) &amp; DEC2HEX(VLOOKUP(G78,Common!$C$51:$D$55,2,FALSE),1) &amp; DEC2HEX(1+2*VLOOKUP(H78,Common!$C$69:$D$72,2,FALSE),1) &amp; DEC2HEX(IFERROR(LOG(J78,2),0),1),0)</f>
        <v>0x05010550</v>
      </c>
      <c r="L78" s="29" t="str">
        <f t="shared" si="10"/>
        <v>RTD_SLEWRATE_MODE</v>
      </c>
      <c r="M78" s="34" t="s">
        <v>301</v>
      </c>
      <c r="N78" s="22">
        <v>0</v>
      </c>
      <c r="O78" s="22">
        <v>0</v>
      </c>
      <c r="P78" s="22">
        <v>1</v>
      </c>
      <c r="Q78" s="3"/>
      <c r="R78" s="23"/>
      <c r="S78" s="22"/>
      <c r="T78" s="21" t="s">
        <v>309</v>
      </c>
      <c r="U78"/>
      <c r="V78"/>
      <c r="W78"/>
      <c r="X78"/>
      <c r="Y78"/>
    </row>
    <row r="79" spans="1:35" s="34" customFormat="1" x14ac:dyDescent="0.25">
      <c r="D79" s="40"/>
      <c r="I79" s="33">
        <f t="shared" si="11"/>
        <v>17</v>
      </c>
      <c r="K79" s="10">
        <f xml:space="preserve"> IFERROR("0x" &amp; DEC2HEX(VLOOKUP(F79,Common!$C$10:$D$34,2,FALSE),2) &amp; DEC2HEX(I79,3) &amp; DEC2HEX(VLOOKUP(G79,Common!$C$51:$D$55,2,FALSE),1) &amp; DEC2HEX(1+2*VLOOKUP(H79,Common!$C$69:$D$72,2,FALSE),1) &amp; DEC2HEX(IFERROR(LOG(J79,2),0),1),0)</f>
        <v>0</v>
      </c>
      <c r="L79" s="29" t="s">
        <v>299</v>
      </c>
      <c r="M79" s="21" t="s">
        <v>302</v>
      </c>
      <c r="N79" s="22"/>
      <c r="O79" s="22"/>
      <c r="P79" s="22"/>
      <c r="Q79" s="23"/>
      <c r="R79" s="23"/>
      <c r="S79" s="22"/>
      <c r="T79" s="21" t="s">
        <v>305</v>
      </c>
      <c r="U79"/>
      <c r="V79"/>
      <c r="W79"/>
      <c r="X79"/>
      <c r="Y79"/>
    </row>
    <row r="80" spans="1:35" s="10" customFormat="1" x14ac:dyDescent="0.25">
      <c r="I80" s="33">
        <f t="shared" si="11"/>
        <v>17</v>
      </c>
      <c r="K80" s="10">
        <f xml:space="preserve"> IFERROR("0x" &amp; DEC2HEX(VLOOKUP(F80,Common!$C$10:$D$34,2,FALSE),2) &amp; DEC2HEX(I80,3) &amp; DEC2HEX(VLOOKUP(G80,Common!$C$51:$D$55,2,FALSE),1) &amp; DEC2HEX(1+2*VLOOKUP(H80,Common!$C$69:$D$72,2,FALSE),1) &amp; DEC2HEX(IFERROR(LOG(J80,2),0),1),0)</f>
        <v>0</v>
      </c>
      <c r="L80" s="29" t="s">
        <v>300</v>
      </c>
      <c r="M80" s="2" t="s">
        <v>303</v>
      </c>
      <c r="T80" s="21" t="s">
        <v>306</v>
      </c>
      <c r="AB80" s="12"/>
      <c r="AC80" s="12"/>
      <c r="AD80" s="12"/>
      <c r="AE80" s="12"/>
      <c r="AF80" s="12"/>
      <c r="AG80" s="12"/>
      <c r="AH80" s="12"/>
      <c r="AI80" s="12"/>
    </row>
    <row r="81" spans="1:35" s="10" customFormat="1" x14ac:dyDescent="0.25">
      <c r="A81" s="12"/>
      <c r="B81" s="12"/>
      <c r="C81" s="12"/>
      <c r="D81"/>
      <c r="E81" s="24" t="s">
        <v>295</v>
      </c>
      <c r="F81" s="3" t="s">
        <v>189</v>
      </c>
      <c r="G81" s="23" t="s">
        <v>49</v>
      </c>
      <c r="H81" s="26" t="s">
        <v>50</v>
      </c>
      <c r="I81" s="33">
        <f t="shared" si="11"/>
        <v>17</v>
      </c>
      <c r="J81" s="29">
        <v>4</v>
      </c>
      <c r="K81" s="10" t="str">
        <f xml:space="preserve"> IFERROR("0x" &amp; DEC2HEX(VLOOKUP(F81,Common!$C$10:$D$34,2,FALSE),2) &amp; DEC2HEX(I81,3) &amp; DEC2HEX(VLOOKUP(G81,Common!$C$51:$D$55,2,FALSE),1) &amp; DEC2HEX(1+2*VLOOKUP(H81,Common!$C$69:$D$72,2,FALSE),1) &amp; DEC2HEX(IFERROR(LOG(J81,2),0),1),0)</f>
        <v>0x05011252</v>
      </c>
      <c r="L81" s="29" t="str">
        <f>IF(AND(LEN(E81)&lt;&gt;0,S78=""),F81&amp;"_"&amp;UPPER(E81),"")</f>
        <v>RTD_SLEWRATE</v>
      </c>
      <c r="M81" s="21" t="s">
        <v>308</v>
      </c>
      <c r="N81" s="3">
        <v>5</v>
      </c>
      <c r="O81" s="3">
        <v>0</v>
      </c>
      <c r="P81" s="3">
        <v>100</v>
      </c>
      <c r="Q81" s="3" t="s">
        <v>304</v>
      </c>
      <c r="R81" s="34"/>
      <c r="S81" s="34"/>
      <c r="T81" s="21" t="s">
        <v>307</v>
      </c>
      <c r="U81" s="34"/>
      <c r="V81" s="34"/>
      <c r="W81" s="34"/>
      <c r="X81" s="34"/>
      <c r="Y81" s="34"/>
      <c r="AA81" s="12"/>
      <c r="AB81" s="12"/>
      <c r="AC81" s="12"/>
      <c r="AD81" s="12"/>
      <c r="AE81" s="12"/>
      <c r="AF81" s="12"/>
      <c r="AG81" s="12"/>
      <c r="AH81" s="12"/>
      <c r="AI81" s="12"/>
    </row>
    <row r="82" spans="1:35" s="34" customFormat="1" x14ac:dyDescent="0.25">
      <c r="A82" s="12"/>
      <c r="B82" s="12"/>
      <c r="C82" s="12"/>
      <c r="D82"/>
      <c r="E82" s="24" t="s">
        <v>296</v>
      </c>
      <c r="F82" s="3" t="s">
        <v>189</v>
      </c>
      <c r="G82" s="23" t="s">
        <v>48</v>
      </c>
      <c r="H82" s="26" t="s">
        <v>50</v>
      </c>
      <c r="I82" s="33">
        <f t="shared" si="11"/>
        <v>21</v>
      </c>
      <c r="J82" s="22">
        <v>2</v>
      </c>
      <c r="K82" s="10" t="str">
        <f xml:space="preserve"> IFERROR("0x" &amp; DEC2HEX(VLOOKUP(F82,Common!$C$10:$D$34,2,FALSE),2) &amp; DEC2HEX(I82,3) &amp; DEC2HEX(VLOOKUP(G82,Common!$C$51:$D$55,2,FALSE),1) &amp; DEC2HEX(1+2*VLOOKUP(H82,Common!$C$69:$D$72,2,FALSE),1) &amp; DEC2HEX(IFERROR(LOG(J82,2),0),1),0)</f>
        <v>0x05015151</v>
      </c>
      <c r="L82" s="29" t="str">
        <f>IF(AND(LEN(E82)&lt;&gt;0,S79=""),F82&amp;"_"&amp;UPPER(E82),"")</f>
        <v>RTD_SLEWRATE_MAX</v>
      </c>
      <c r="M82" s="34" t="s">
        <v>312</v>
      </c>
      <c r="N82" s="3">
        <v>50</v>
      </c>
      <c r="O82" s="10">
        <v>-30</v>
      </c>
      <c r="P82" s="10">
        <v>200</v>
      </c>
      <c r="Q82" s="3" t="s">
        <v>247</v>
      </c>
      <c r="R82" s="10"/>
      <c r="S82" s="10"/>
      <c r="T82" s="34" t="s">
        <v>310</v>
      </c>
      <c r="U82" s="10"/>
      <c r="V82" s="10"/>
      <c r="W82" s="10"/>
      <c r="X82" s="10"/>
      <c r="Y82" s="10"/>
      <c r="Z82" s="10"/>
      <c r="AA82" s="12"/>
    </row>
    <row r="83" spans="1:35" s="10" customFormat="1" x14ac:dyDescent="0.25">
      <c r="A83" s="34"/>
      <c r="B83" s="34"/>
      <c r="C83" s="34"/>
      <c r="D83" s="40"/>
      <c r="E83" s="24" t="s">
        <v>297</v>
      </c>
      <c r="F83" s="3" t="s">
        <v>189</v>
      </c>
      <c r="G83" s="3" t="s">
        <v>48</v>
      </c>
      <c r="H83" s="3" t="s">
        <v>50</v>
      </c>
      <c r="I83" s="33">
        <f t="shared" si="11"/>
        <v>23</v>
      </c>
      <c r="J83" s="3">
        <v>2</v>
      </c>
      <c r="K83" s="10" t="str">
        <f xml:space="preserve"> IFERROR("0x" &amp; DEC2HEX(VLOOKUP(F83,Common!$C$10:$D$34,2,FALSE),2) &amp; DEC2HEX(I83,3) &amp; DEC2HEX(VLOOKUP(G83,Common!$C$51:$D$55,2,FALSE),1) &amp; DEC2HEX(1+2*VLOOKUP(H83,Common!$C$69:$D$72,2,FALSE),1) &amp; DEC2HEX(IFERROR(LOG(J83,2),0),1),0)</f>
        <v>0x05017151</v>
      </c>
      <c r="L83" s="29" t="str">
        <f>IF(AND(LEN(E83)&lt;&gt;0,S81=""),F83&amp;"_"&amp;UPPER(E83),"")</f>
        <v>RTD_SLEWRATE_MIN</v>
      </c>
      <c r="M83" s="34" t="s">
        <v>311</v>
      </c>
      <c r="N83" s="3">
        <v>15</v>
      </c>
      <c r="O83" s="3">
        <v>-30</v>
      </c>
      <c r="P83" s="3">
        <v>200</v>
      </c>
      <c r="Q83" s="3" t="s">
        <v>247</v>
      </c>
      <c r="R83" s="34"/>
      <c r="S83" s="34"/>
      <c r="T83" s="34" t="s">
        <v>313</v>
      </c>
      <c r="U83" s="34"/>
      <c r="V83" s="34"/>
      <c r="W83" s="34"/>
      <c r="X83" s="34"/>
      <c r="Y83" s="34"/>
      <c r="Z83" s="34"/>
      <c r="AA83" s="34"/>
      <c r="AB83" s="12"/>
      <c r="AC83" s="12"/>
      <c r="AD83" s="12"/>
      <c r="AE83" s="12"/>
      <c r="AF83" s="12"/>
      <c r="AG83" s="12"/>
      <c r="AH83" s="12"/>
      <c r="AI83" s="12"/>
    </row>
    <row r="84" spans="1:35" s="10" customFormat="1" x14ac:dyDescent="0.25">
      <c r="A84" s="12"/>
      <c r="B84" s="12"/>
      <c r="C84" s="12"/>
      <c r="D84"/>
      <c r="I84" s="33"/>
      <c r="AA84" s="12"/>
      <c r="AB84" s="12"/>
      <c r="AC84" s="12"/>
      <c r="AD84" s="12"/>
      <c r="AE84" s="12"/>
      <c r="AF84" s="12"/>
      <c r="AG84" s="12"/>
      <c r="AH84" s="12"/>
      <c r="AI84" s="12"/>
    </row>
    <row r="85" spans="1:35" s="10" customFormat="1" x14ac:dyDescent="0.25">
      <c r="A85" s="12"/>
      <c r="B85" s="12"/>
      <c r="C85" s="12"/>
      <c r="D85"/>
      <c r="E85" s="2" t="s">
        <v>241</v>
      </c>
      <c r="F85" s="3" t="s">
        <v>242</v>
      </c>
      <c r="G85" s="3" t="s">
        <v>48</v>
      </c>
      <c r="H85" s="3" t="s">
        <v>45</v>
      </c>
      <c r="I85" s="33">
        <f>I84+J84</f>
        <v>0</v>
      </c>
      <c r="J85" s="29">
        <v>4</v>
      </c>
      <c r="K85" s="10" t="str">
        <f xml:space="preserve"> IFERROR("0x" &amp; DEC2HEX(VLOOKUP(F85,Common!$C$10:$D$34,2,FALSE),2) &amp; DEC2HEX(I85,3) &amp; DEC2HEX(VLOOKUP(G85,Common!$C$51:$D$55,2,FALSE),1) &amp; DEC2HEX(1+2*VLOOKUP(H85,Common!$C$69:$D$72,2,FALSE),1) &amp; DEC2HEX(IFERROR(LOG(J85,2),0),1),0)</f>
        <v>0x06000112</v>
      </c>
      <c r="L85" s="29" t="str">
        <f>IF(AND(LEN(E85)&lt;&gt;0,S85=""),F85&amp;"_"&amp;UPPER(E85),"")</f>
        <v>DBG_WRITES_CONF</v>
      </c>
      <c r="M85" t="s">
        <v>243</v>
      </c>
      <c r="N85" s="29"/>
      <c r="O85" s="29">
        <v>0</v>
      </c>
      <c r="P85" s="29">
        <v>1000000</v>
      </c>
      <c r="Q85" s="3" t="s">
        <v>244</v>
      </c>
      <c r="R85" s="29"/>
      <c r="S85" s="29"/>
      <c r="T85" t="s">
        <v>245</v>
      </c>
      <c r="U85"/>
      <c r="V85"/>
      <c r="W85"/>
      <c r="X85"/>
      <c r="Y85"/>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9</xdr:col>
                <xdr:colOff>1295400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9</xdr:col>
                <xdr:colOff>1304925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9</xdr:col>
                <xdr:colOff>1304925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9</xdr:col>
                <xdr:colOff>1304925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C16" sqref="C16"/>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185</v>
      </c>
      <c r="D14" s="3">
        <v>3</v>
      </c>
      <c r="E14" t="s">
        <v>186</v>
      </c>
      <c r="F14" t="s">
        <v>187</v>
      </c>
    </row>
    <row r="15" spans="3:6" x14ac:dyDescent="0.25">
      <c r="C15" t="s">
        <v>183</v>
      </c>
      <c r="D15" s="3">
        <v>4</v>
      </c>
      <c r="E15" t="s">
        <v>184</v>
      </c>
      <c r="F15" t="s">
        <v>188</v>
      </c>
    </row>
    <row r="16" spans="3:6" x14ac:dyDescent="0.25">
      <c r="C16" t="s">
        <v>189</v>
      </c>
      <c r="D16" s="3">
        <v>5</v>
      </c>
      <c r="E16" t="s">
        <v>190</v>
      </c>
      <c r="F16" t="s">
        <v>191</v>
      </c>
    </row>
    <row r="17" spans="3:5" x14ac:dyDescent="0.25">
      <c r="C17" t="s">
        <v>242</v>
      </c>
      <c r="D17" s="3">
        <v>6</v>
      </c>
      <c r="E17" t="s">
        <v>87</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Evžen Šteif</cp:lastModifiedBy>
  <dcterms:created xsi:type="dcterms:W3CDTF">2006-09-16T00:00:00Z</dcterms:created>
  <dcterms:modified xsi:type="dcterms:W3CDTF">2024-03-22T09:58:23Z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