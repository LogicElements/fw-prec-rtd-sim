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D:\work\gitlab\fw-prec-rtd-sim\Documents\"/>
    </mc:Choice>
  </mc:AlternateContent>
  <xr:revisionPtr revIDLastSave="0" documentId="13_ncr:1_{E12583C2-C1AB-40F3-BA93-4861D16DA19E}" xr6:coauthVersionLast="47" xr6:coauthVersionMax="47" xr10:uidLastSave="{00000000-0000-0000-0000-000000000000}"/>
  <bookViews>
    <workbookView xWindow="-110" yWindow="-110" windowWidth="22620" windowHeight="136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25" l="1"/>
  <c r="F8" i="25"/>
  <c r="L46" i="25" l="1"/>
  <c r="L45" i="25"/>
  <c r="L44" i="25"/>
  <c r="L43" i="25"/>
  <c r="L41" i="25"/>
  <c r="L40" i="25"/>
  <c r="L39" i="25"/>
  <c r="L38" i="25"/>
  <c r="L33" i="25"/>
  <c r="L32" i="25"/>
  <c r="L26" i="25"/>
  <c r="L20" i="25"/>
  <c r="L19" i="25"/>
  <c r="L18" i="25"/>
  <c r="K43" i="25"/>
  <c r="K38" i="25"/>
  <c r="I44" i="25" l="1"/>
  <c r="I45" i="25" l="1"/>
  <c r="K44" i="25"/>
  <c r="I46" i="25" l="1"/>
  <c r="K46" i="25" s="1"/>
  <c r="K45" i="25"/>
  <c r="I18" i="25" l="1"/>
  <c r="F12" i="25"/>
  <c r="F7" i="25"/>
  <c r="K18" i="25" l="1"/>
  <c r="I19" i="25"/>
  <c r="I20" i="25" s="1"/>
  <c r="I21" i="25" s="1"/>
  <c r="I22" i="25" s="1"/>
  <c r="I23" i="25" s="1"/>
  <c r="I24" i="25" s="1"/>
  <c r="I26" i="25" l="1"/>
  <c r="I27" i="25" s="1"/>
  <c r="I28" i="25" s="1"/>
  <c r="I29" i="25" s="1"/>
  <c r="I30" i="25" s="1"/>
  <c r="I31" i="25" s="1"/>
  <c r="I32" i="25" s="1"/>
  <c r="I33" i="25" s="1"/>
  <c r="I25" i="25"/>
  <c r="K19" i="25"/>
  <c r="I39" i="25"/>
  <c r="K39" i="25" s="1"/>
  <c r="K20" i="25" l="1"/>
  <c r="I40" i="25"/>
  <c r="I41" i="25" l="1"/>
  <c r="K41" i="25" s="1"/>
  <c r="K40" i="25"/>
  <c r="K26" i="25" l="1"/>
  <c r="K32" i="25" l="1"/>
  <c r="K33" i="25" l="1"/>
</calcChain>
</file>

<file path=xl/sharedStrings.xml><?xml version="1.0" encoding="utf-8"?>
<sst xmlns="http://schemas.openxmlformats.org/spreadsheetml/2006/main" count="307" uniqueCount="213">
  <si>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</si>
  <si>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</si>
  <si>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</si>
  <si>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</si>
  <si>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</si>
  <si>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</si>
  <si>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</si>
  <si>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</si>
  <si>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</si>
  <si>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</si>
  <si>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</si>
  <si>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</si>
  <si>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</si>
  <si>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</si>
  <si>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</si>
  <si>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</si>
  <si>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</si>
  <si>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</si>
  <si>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</si>
  <si>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</si>
  <si>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</si>
  <si>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</si>
  <si>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</si>
  <si>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</si>
  <si>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</si>
  <si>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</si>
  <si>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</si>
  <si>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</si>
  <si>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</si>
  <si>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</si>
  <si>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</si>
  <si>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</si>
  <si>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</si>
  <si>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</si>
  <si>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</si>
  <si>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</si>
  <si>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</si>
  <si>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</si>
  <si>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</si>
  <si>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</si>
  <si>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</si>
  <si>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</si>
  <si>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</si>
  <si>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</si>
  <si>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</si>
  <si>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</si>
  <si>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</si>
  <si>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</si>
  <si>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</si>
  <si>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</si>
  <si>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</si>
  <si>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</si>
  <si>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</si>
  <si>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</si>
  <si>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</si>
  <si>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</si>
  <si>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</si>
  <si>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</si>
  <si>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</si>
  <si>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</si>
  <si>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</si>
  <si>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</si>
  <si>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</si>
  <si>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</si>
  <si>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</si>
  <si>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</si>
  <si>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</si>
  <si>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</si>
  <si>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</si>
  <si>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</si>
  <si>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</si>
  <si>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</si>
  <si>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</si>
  <si>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</si>
  <si>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</si>
  <si>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</si>
  <si>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</si>
  <si>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</si>
  <si>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</si>
  <si>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</si>
  <si>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</si>
  <si>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</si>
  <si>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</si>
  <si>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</si>
  <si>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</si>
  <si>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</si>
  <si>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</si>
  <si>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</si>
  <si>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</si>
  <si>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</si>
  <si>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</si>
  <si>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</si>
  <si>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</si>
  <si>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</si>
  <si>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</si>
  <si>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</si>
  <si>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</si>
  <si>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</si>
  <si>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</si>
  <si>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</si>
  <si>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</si>
  <si>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</si>
  <si>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</si>
  <si>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</si>
  <si>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</si>
  <si>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</si>
  <si>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</si>
  <si>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</si>
  <si>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</si>
  <si>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</si>
  <si>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</si>
  <si>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</si>
  <si>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</si>
  <si>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</si>
  <si>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</si>
  <si>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</si>
  <si>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</si>
  <si>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</si>
  <si>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</si>
  <si>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</si>
  <si>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</si>
  <si>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</si>
  <si>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</si>
  <si>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</si>
  <si>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</si>
  <si>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</si>
  <si>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</si>
  <si>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</si>
  <si>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</si>
  <si>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</si>
  <si>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</si>
  <si>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</si>
  <si>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</si>
  <si>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</si>
  <si>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</si>
  <si>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</si>
  <si>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</si>
  <si>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</si>
  <si>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</si>
  <si>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</si>
  <si>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</si>
  <si>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</si>
  <si>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</si>
  <si>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</si>
  <si>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</si>
  <si>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</si>
  <si>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</si>
  <si>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</si>
  <si>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</si>
  <si>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</si>
  <si>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</si>
  <si>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</si>
  <si>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</si>
  <si>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</si>
  <si>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</si>
  <si>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</si>
  <si>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</si>
  <si>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</si>
  <si>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</si>
  <si>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</si>
  <si>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</si>
  <si>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</si>
  <si>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</si>
  <si>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</si>
  <si>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</si>
  <si>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</si>
  <si>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</si>
  <si>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</si>
  <si>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</si>
  <si>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</si>
  <si>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Error register</t>
  </si>
  <si>
    <t>ERROR_BIT_INIT</t>
  </si>
  <si>
    <t>Binary map of different error flags</t>
  </si>
  <si>
    <t>Error in initialization</t>
  </si>
  <si>
    <t>Error in the initialization process</t>
  </si>
  <si>
    <t>ERROR_BIT_USB</t>
  </si>
  <si>
    <t>Error in USB module</t>
  </si>
  <si>
    <t>Error in Control module</t>
  </si>
  <si>
    <t>Error in infinite while loop</t>
  </si>
  <si>
    <t>Error in the infinite while loop, not catched in any module</t>
  </si>
  <si>
    <t>ERROR_BIT_WHILE</t>
  </si>
  <si>
    <t>ERROR_BIT_CONTROL</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</si>
  <si>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</si>
  <si>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</si>
  <si>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</si>
  <si>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</si>
  <si>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</si>
  <si>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</si>
  <si>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</si>
  <si>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</si>
  <si>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</si>
  <si>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D:\work\gitlab\jaa-fw-152kr-verif\Documents\txts\Ja152KrVerif_Define.txt</t>
  </si>
  <si>
    <t>D:\work\gitlab\jaa-fw-152kr-verif\Documents\txts\Ja152KrVerif_Storage.txt</t>
  </si>
  <si>
    <t>D:\work\gitlab\jaa-fw-152kr-verif\Documents\txts\Ja152KrVerif_Factory.txt</t>
  </si>
  <si>
    <t>D:\work\gitlab\jaa-fw-152kr-verif\Documents\txts\reg_map.c</t>
  </si>
  <si>
    <t>ERROR_BIT_FLASH</t>
  </si>
  <si>
    <t>Error in flash module</t>
  </si>
  <si>
    <t>STAT_BIT_WATCHDOG</t>
  </si>
  <si>
    <t>Reset by IWDG</t>
  </si>
  <si>
    <t>Last reset was caused by Independent watchdog</t>
  </si>
  <si>
    <t>D:\work\gitlab\fw-prec-rtd-sim\Documents\txts\PrecRtdSim_registers.json</t>
  </si>
  <si>
    <t>D:\work\gitlab\fw-prec-rtd-sim\Documents\txts\PrecRtdSimRegs.py</t>
  </si>
  <si>
    <t>D:\work\gitlab\fw-prec-rtd-sim\Documents\txts\PrecRtdSim_Modbus.json</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</si>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</sst>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49" fontId="3" fillId="0" borderId="0" xfId="0" applyNumberFormat="1" applyFon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10</xdr:col>
          <xdr:colOff>781050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10</xdr:col>
          <xdr:colOff>781050</xdr:colOff>
          <xdr:row>3</xdr:row>
          <xdr:rowOff>31750</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7</xdr:row>
          <xdr:rowOff>12700</xdr:rowOff>
        </xdr:from>
        <xdr:to>
          <xdr:col>10</xdr:col>
          <xdr:colOff>781050</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9</xdr:row>
          <xdr:rowOff>12700</xdr:rowOff>
        </xdr:from>
        <xdr:to>
          <xdr:col>10</xdr:col>
          <xdr:colOff>781050</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50"/>
  <sheetViews>
    <sheetView tabSelected="1" topLeftCell="A22" zoomScaleNormal="100" workbookViewId="0">
      <selection activeCell="I49" sqref="I49"/>
    </sheetView>
  </sheetViews>
  <sheetFormatPr defaultColWidth="9.1796875" defaultRowHeight="14.5" x14ac:dyDescent="0.35"/>
  <cols>
    <col min="1" max="1" width="2.26953125" style="12" customWidth="1"/>
    <col min="2" max="3" width="2.1796875" style="12" customWidth="1"/>
    <col min="4" max="4" width="5.81640625" style="12" customWidth="1"/>
    <col min="5" max="5" width="25.81640625" style="12" customWidth="1"/>
    <col min="6" max="6" width="8.453125" style="10" customWidth="1"/>
    <col min="7" max="7" width="6.81640625" style="10" customWidth="1"/>
    <col min="8" max="8" width="5.453125" style="10" customWidth="1"/>
    <col min="9" max="9" width="8.453125" style="10" customWidth="1"/>
    <col min="10" max="10" width="7.81640625" style="10" customWidth="1"/>
    <col min="11" max="11" width="17" style="12" customWidth="1"/>
    <col min="12" max="12" width="30.453125" style="10" customWidth="1"/>
    <col min="13" max="13" width="33.26953125" style="12" customWidth="1"/>
    <col min="14" max="14" width="12.1796875" style="10" customWidth="1"/>
    <col min="15" max="15" width="11.81640625" style="10" customWidth="1"/>
    <col min="16" max="16" width="13" style="10" customWidth="1"/>
    <col min="17" max="17" width="14.1796875" style="10" customWidth="1"/>
    <col min="18" max="18" width="7" style="10" bestFit="1" customWidth="1"/>
    <col min="19" max="19" width="3.54296875" style="10" customWidth="1"/>
    <col min="20" max="20" width="61.453125" style="12" customWidth="1"/>
    <col min="21" max="16384" width="9.1796875" style="12"/>
  </cols>
  <sheetData>
    <row r="3" spans="1:26" ht="21.75" customHeight="1" x14ac:dyDescent="0.35">
      <c r="J3" s="3" t="s">
        <v>1</v>
      </c>
      <c r="K3" s="9" t="s">
        <v>144</v>
      </c>
      <c r="L3" s="8" t="s">
        <v>194</v>
      </c>
      <c r="T3" s="31"/>
    </row>
    <row r="4" spans="1:26" ht="25" customHeight="1" x14ac:dyDescent="0.35">
      <c r="D4" s="31" t="s">
        <v>18</v>
      </c>
      <c r="E4" s="31"/>
      <c r="F4" s="31" t="s">
        <v>113</v>
      </c>
      <c r="J4" s="3" t="s">
        <v>1</v>
      </c>
      <c r="K4" s="9" t="s">
        <v>5</v>
      </c>
      <c r="L4" s="8" t="s">
        <v>191</v>
      </c>
      <c r="M4" s="11"/>
      <c r="U4" s="12" t="s">
        <v>1</v>
      </c>
      <c r="Z4" s="10"/>
    </row>
    <row r="5" spans="1:26" ht="25" customHeight="1" x14ac:dyDescent="0.35">
      <c r="D5" s="31" t="s">
        <v>19</v>
      </c>
      <c r="E5" s="31"/>
      <c r="F5" s="31" t="s">
        <v>20</v>
      </c>
      <c r="J5" s="3" t="s">
        <v>1</v>
      </c>
      <c r="K5" s="9" t="s">
        <v>100</v>
      </c>
      <c r="L5" s="8" t="s">
        <v>203</v>
      </c>
      <c r="M5" s="11"/>
      <c r="U5" s="12" t="s">
        <v>1</v>
      </c>
      <c r="Z5" s="10"/>
    </row>
    <row r="6" spans="1:26" ht="25" customHeight="1" x14ac:dyDescent="0.35">
      <c r="D6" s="31" t="s">
        <v>63</v>
      </c>
      <c r="E6" s="13"/>
      <c r="F6" s="32">
        <v>1</v>
      </c>
      <c r="J6" s="3" t="s">
        <v>1</v>
      </c>
      <c r="K6" s="9" t="s">
        <v>17</v>
      </c>
      <c r="L6" s="8" t="s">
        <v>192</v>
      </c>
      <c r="M6" s="11"/>
      <c r="U6" s="12" t="s">
        <v>1</v>
      </c>
      <c r="Z6" s="10"/>
    </row>
    <row r="7" spans="1:26" ht="25" customHeight="1" x14ac:dyDescent="0.35">
      <c r="D7" s="31" t="s">
        <v>143</v>
      </c>
      <c r="E7" s="13"/>
      <c r="F7" s="31" t="str">
        <f>GetWorkName()</f>
        <v>PrecRtdSim</v>
      </c>
      <c r="J7" s="3" t="s">
        <v>1</v>
      </c>
      <c r="K7" s="9" t="s">
        <v>21</v>
      </c>
      <c r="L7" s="8" t="s">
        <v>193</v>
      </c>
      <c r="M7" s="11"/>
      <c r="U7" s="12" t="s">
        <v>1</v>
      </c>
      <c r="Z7" s="10"/>
    </row>
    <row r="8" spans="1:26" ht="25" customHeight="1" x14ac:dyDescent="0.35">
      <c r="D8" s="31" t="s">
        <v>117</v>
      </c>
      <c r="E8" s="13"/>
      <c r="F8" s="31" t="str">
        <f>GetPath()&amp;"\..\Firmware\ja-152kr-verif\Core\Common\"</f>
        <v>D:\work\gitlab\fw-prec-rtd-sim\Documents\..\Firmware\ja-152kr-verif\Core\Common\</v>
      </c>
      <c r="J8" s="3" t="s">
        <v>1</v>
      </c>
      <c r="K8" s="9" t="s">
        <v>145</v>
      </c>
      <c r="L8" s="8" t="s">
        <v>202</v>
      </c>
      <c r="M8" s="11"/>
      <c r="U8" s="12" t="s">
        <v>1</v>
      </c>
      <c r="Z8" s="10"/>
    </row>
    <row r="9" spans="1:26" ht="25" customHeight="1" x14ac:dyDescent="0.35">
      <c r="D9" s="31" t="s">
        <v>148</v>
      </c>
      <c r="E9" s="13"/>
      <c r="F9" s="31"/>
      <c r="J9" s="3"/>
      <c r="K9" s="9" t="s">
        <v>1</v>
      </c>
      <c r="L9" s="8" t="s">
        <v>201</v>
      </c>
      <c r="M9" s="11"/>
      <c r="Z9" s="10"/>
    </row>
    <row r="10" spans="1:26" ht="25" customHeight="1" x14ac:dyDescent="0.35">
      <c r="D10" s="31" t="s">
        <v>153</v>
      </c>
      <c r="E10" s="13"/>
      <c r="F10" s="31" t="str">
        <f>GetPath()&amp;"\..\Tests\prec-rtd-sim\"</f>
        <v>D:\work\gitlab\fw-prec-rtd-sim\Documents\..\Tests\prec-rtd-sim\</v>
      </c>
      <c r="K10" s="9" t="s">
        <v>154</v>
      </c>
      <c r="L10" s="8" t="s">
        <v>200</v>
      </c>
      <c r="M10" s="11"/>
    </row>
    <row r="11" spans="1:26" ht="24.75" customHeight="1" x14ac:dyDescent="0.35">
      <c r="D11" s="31" t="s">
        <v>155</v>
      </c>
      <c r="F11" s="31"/>
      <c r="K11" s="10"/>
      <c r="M11" s="11"/>
    </row>
    <row r="12" spans="1:26" ht="24.75" customHeight="1" x14ac:dyDescent="0.35">
      <c r="D12" s="31" t="s">
        <v>151</v>
      </c>
      <c r="E12" s="11"/>
      <c r="F12" s="31" t="str">
        <f>ModbusGetVersion()</f>
        <v>0.1.15 - 2021-02-15</v>
      </c>
      <c r="G12" s="12"/>
      <c r="H12" s="12"/>
      <c r="I12" s="12"/>
      <c r="J12" s="12"/>
      <c r="M12" s="11"/>
    </row>
    <row r="13" spans="1:26" x14ac:dyDescent="0.35">
      <c r="F13" s="12"/>
      <c r="G13" s="12"/>
      <c r="H13" s="12"/>
      <c r="I13" s="12"/>
      <c r="J13" s="12"/>
      <c r="M13" s="11"/>
    </row>
    <row r="14" spans="1:26" x14ac:dyDescent="0.35">
      <c r="F14" s="12"/>
      <c r="G14" s="12"/>
      <c r="H14" s="12"/>
      <c r="I14" s="12"/>
      <c r="J14" s="12"/>
      <c r="M14" s="11"/>
    </row>
    <row r="15" spans="1:26" x14ac:dyDescent="0.35">
      <c r="E15" s="11"/>
      <c r="K15" s="10"/>
      <c r="M15" s="11"/>
    </row>
    <row r="16" spans="1:26" ht="15" customHeight="1" x14ac:dyDescent="0.35">
      <c r="A16" s="44"/>
      <c r="B16" s="44"/>
      <c r="C16" s="43"/>
      <c r="D16" s="46" t="s">
        <v>8</v>
      </c>
      <c r="E16" s="48" t="s">
        <v>33</v>
      </c>
      <c r="F16" s="41" t="s">
        <v>10</v>
      </c>
      <c r="G16" s="41" t="s">
        <v>39</v>
      </c>
      <c r="H16" s="41" t="s">
        <v>11</v>
      </c>
      <c r="I16" s="46" t="s">
        <v>0</v>
      </c>
      <c r="J16" s="41" t="s">
        <v>13</v>
      </c>
      <c r="K16" s="46" t="s">
        <v>16</v>
      </c>
      <c r="L16" s="46" t="s">
        <v>2</v>
      </c>
      <c r="M16" s="54" t="s">
        <v>134</v>
      </c>
      <c r="N16" s="41" t="s">
        <v>14</v>
      </c>
      <c r="O16" s="51" t="s">
        <v>118</v>
      </c>
      <c r="P16" s="51" t="s">
        <v>119</v>
      </c>
      <c r="Q16" s="51" t="s">
        <v>123</v>
      </c>
      <c r="R16" s="51" t="s">
        <v>149</v>
      </c>
      <c r="S16" s="53" t="s">
        <v>101</v>
      </c>
      <c r="T16" s="50" t="s">
        <v>4</v>
      </c>
    </row>
    <row r="17" spans="1:20" ht="15" customHeight="1" x14ac:dyDescent="0.35">
      <c r="A17" s="45"/>
      <c r="B17" s="45"/>
      <c r="C17" s="43"/>
      <c r="D17" s="47"/>
      <c r="E17" s="49"/>
      <c r="F17" s="42"/>
      <c r="G17" s="42"/>
      <c r="H17" s="42"/>
      <c r="I17" s="47"/>
      <c r="J17" s="42"/>
      <c r="K17" s="47"/>
      <c r="L17" s="47"/>
      <c r="M17" s="55"/>
      <c r="N17" s="47"/>
      <c r="O17" s="52"/>
      <c r="P17" s="52"/>
      <c r="Q17" s="56"/>
      <c r="R17" s="56"/>
      <c r="S17" s="52"/>
      <c r="T17" s="49"/>
    </row>
    <row r="18" spans="1:20" x14ac:dyDescent="0.35">
      <c r="D18" s="16"/>
      <c r="E18" s="2" t="s">
        <v>182</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35">
      <c r="D19" s="13"/>
      <c r="E19" s="11" t="s">
        <v>46</v>
      </c>
      <c r="F19" s="14" t="s">
        <v>32</v>
      </c>
      <c r="G19" s="5" t="s">
        <v>48</v>
      </c>
      <c r="H19" s="5" t="s">
        <v>51</v>
      </c>
      <c r="I19" s="14">
        <f t="shared" ref="I19:I33"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3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35">
      <c r="A21" s="34"/>
      <c r="D21" s="13"/>
      <c r="E21" s="11"/>
      <c r="F21" s="3" t="s">
        <v>32</v>
      </c>
      <c r="G21" s="14"/>
      <c r="H21" s="17"/>
      <c r="I21" s="14">
        <f t="shared" si="0"/>
        <v>12</v>
      </c>
      <c r="J21" s="14"/>
      <c r="K21" s="10"/>
      <c r="L21" s="3" t="s">
        <v>157</v>
      </c>
      <c r="M21" t="s">
        <v>158</v>
      </c>
      <c r="N21" s="29"/>
      <c r="Q21" s="3"/>
      <c r="R21" s="29"/>
      <c r="T21" s="2" t="s">
        <v>169</v>
      </c>
    </row>
    <row r="22" spans="1:20" x14ac:dyDescent="0.35">
      <c r="A22" s="34"/>
      <c r="D22" s="14"/>
      <c r="E22" s="2"/>
      <c r="F22" s="3" t="s">
        <v>32</v>
      </c>
      <c r="G22" s="5"/>
      <c r="H22" s="18"/>
      <c r="I22" s="14">
        <f t="shared" si="0"/>
        <v>12</v>
      </c>
      <c r="J22" s="14"/>
      <c r="K22" s="10"/>
      <c r="L22" s="3" t="s">
        <v>162</v>
      </c>
      <c r="M22" t="s">
        <v>163</v>
      </c>
      <c r="N22" s="29"/>
      <c r="O22" s="29"/>
      <c r="P22" s="29"/>
      <c r="Q22" s="29"/>
      <c r="R22" s="29"/>
      <c r="S22" s="34"/>
      <c r="T22" t="s">
        <v>164</v>
      </c>
    </row>
    <row r="23" spans="1:20" x14ac:dyDescent="0.35">
      <c r="A23" s="34"/>
      <c r="D23" s="14"/>
      <c r="E23" s="2"/>
      <c r="F23" s="3" t="s">
        <v>32</v>
      </c>
      <c r="G23" s="5"/>
      <c r="H23" s="18"/>
      <c r="I23" s="14">
        <f t="shared" si="0"/>
        <v>12</v>
      </c>
      <c r="J23" s="14"/>
      <c r="K23" s="10"/>
      <c r="L23" s="3" t="s">
        <v>184</v>
      </c>
      <c r="M23" t="s">
        <v>185</v>
      </c>
      <c r="N23" s="29"/>
      <c r="O23" s="29"/>
      <c r="P23" s="29"/>
      <c r="Q23" s="29"/>
      <c r="R23" s="29"/>
      <c r="S23" s="34"/>
      <c r="T23" s="2" t="s">
        <v>186</v>
      </c>
    </row>
    <row r="24" spans="1:20" x14ac:dyDescent="0.35">
      <c r="A24" s="34"/>
      <c r="D24" s="14"/>
      <c r="E24" s="2"/>
      <c r="F24" s="3" t="s">
        <v>32</v>
      </c>
      <c r="G24" s="5"/>
      <c r="H24" s="18"/>
      <c r="I24" s="14">
        <f t="shared" si="0"/>
        <v>12</v>
      </c>
      <c r="J24" s="14"/>
      <c r="K24" s="10"/>
      <c r="L24" s="3" t="s">
        <v>159</v>
      </c>
      <c r="M24" t="s">
        <v>160</v>
      </c>
      <c r="N24" s="29">
        <v>16</v>
      </c>
      <c r="O24" s="29"/>
      <c r="P24" s="29"/>
      <c r="Q24" s="29"/>
      <c r="R24" s="29"/>
      <c r="S24" s="34"/>
      <c r="T24" t="s">
        <v>161</v>
      </c>
    </row>
    <row r="25" spans="1:20" x14ac:dyDescent="0.35">
      <c r="A25" s="34"/>
      <c r="D25" s="14"/>
      <c r="E25" s="2"/>
      <c r="F25" s="3" t="s">
        <v>32</v>
      </c>
      <c r="G25" s="5"/>
      <c r="H25" s="18"/>
      <c r="I25" s="14">
        <f t="shared" si="0"/>
        <v>12</v>
      </c>
      <c r="J25" s="14"/>
      <c r="K25" s="10"/>
      <c r="L25" s="3" t="s">
        <v>197</v>
      </c>
      <c r="M25" t="s">
        <v>198</v>
      </c>
      <c r="N25" s="29"/>
      <c r="O25" s="29"/>
      <c r="P25" s="29"/>
      <c r="Q25" s="29"/>
      <c r="R25" s="29"/>
      <c r="S25" s="34"/>
      <c r="T25" s="2" t="s">
        <v>199</v>
      </c>
    </row>
    <row r="26" spans="1:20" x14ac:dyDescent="0.35">
      <c r="A26" s="34"/>
      <c r="D26" s="14"/>
      <c r="E26" s="2" t="s">
        <v>41</v>
      </c>
      <c r="F26" s="3" t="s">
        <v>32</v>
      </c>
      <c r="G26" s="5" t="s">
        <v>44</v>
      </c>
      <c r="H26" s="18" t="s">
        <v>45</v>
      </c>
      <c r="I26" s="14">
        <f xml:space="preserve"> I24+J24</f>
        <v>12</v>
      </c>
      <c r="J26" s="14">
        <v>4</v>
      </c>
      <c r="K26" s="10" t="str">
        <f xml:space="preserve"> IFERROR("0x" &amp; DEC2HEX(VLOOKUP(F26,Common!$C$10:$D$34,2,FALSE),2) &amp; DEC2HEX(I26,3) &amp; DEC2HEX(VLOOKUP(G26,Common!$C$51:$D$55,2,FALSE),1) &amp; DEC2HEX(1+2*VLOOKUP(H26,Common!$C$69:$D$72,2,FALSE),1) &amp; DEC2HEX(IFERROR(LOG(J26,2),0),1),0)</f>
        <v>0x0000C012</v>
      </c>
      <c r="L26" s="10" t="str">
        <f>IF(AND(LEN(E26)&lt;&gt;0,S26=""),F26&amp;"_"&amp;UPPER(E26),"")</f>
        <v>SYS_ERROR</v>
      </c>
      <c r="M26" t="s">
        <v>170</v>
      </c>
      <c r="N26" s="29"/>
      <c r="O26" s="29"/>
      <c r="P26" s="29"/>
      <c r="Q26" s="29"/>
      <c r="R26" s="29"/>
      <c r="S26" s="34"/>
      <c r="T26" t="s">
        <v>172</v>
      </c>
    </row>
    <row r="27" spans="1:20" x14ac:dyDescent="0.35">
      <c r="A27" s="34"/>
      <c r="D27" s="14"/>
      <c r="E27" s="2"/>
      <c r="F27" s="3" t="s">
        <v>32</v>
      </c>
      <c r="G27" s="14"/>
      <c r="H27" s="17"/>
      <c r="I27" s="14">
        <f t="shared" si="0"/>
        <v>16</v>
      </c>
      <c r="J27" s="14"/>
      <c r="K27" s="10"/>
      <c r="L27" s="3" t="s">
        <v>171</v>
      </c>
      <c r="M27" t="s">
        <v>173</v>
      </c>
      <c r="N27" s="29"/>
      <c r="Q27" s="3"/>
      <c r="R27" s="29"/>
      <c r="T27" s="2" t="s">
        <v>174</v>
      </c>
    </row>
    <row r="28" spans="1:20" x14ac:dyDescent="0.35">
      <c r="A28" s="34"/>
      <c r="D28" s="14"/>
      <c r="E28" s="2"/>
      <c r="F28" s="3" t="s">
        <v>32</v>
      </c>
      <c r="G28" s="14"/>
      <c r="H28" s="17"/>
      <c r="I28" s="14">
        <f t="shared" si="0"/>
        <v>16</v>
      </c>
      <c r="J28" s="14"/>
      <c r="K28" s="10"/>
      <c r="L28" s="3" t="s">
        <v>180</v>
      </c>
      <c r="M28" t="s">
        <v>178</v>
      </c>
      <c r="N28" s="29"/>
      <c r="Q28" s="3"/>
      <c r="R28" s="29"/>
      <c r="T28" s="2" t="s">
        <v>179</v>
      </c>
    </row>
    <row r="29" spans="1:20" x14ac:dyDescent="0.35">
      <c r="A29" s="34"/>
      <c r="D29" s="14"/>
      <c r="E29" s="2"/>
      <c r="F29" s="3" t="s">
        <v>32</v>
      </c>
      <c r="G29" s="14"/>
      <c r="H29" s="17"/>
      <c r="I29" s="14">
        <f t="shared" si="0"/>
        <v>16</v>
      </c>
      <c r="J29" s="14"/>
      <c r="K29" s="10"/>
      <c r="L29" s="3" t="s">
        <v>181</v>
      </c>
      <c r="M29" t="s">
        <v>177</v>
      </c>
      <c r="N29" s="29"/>
      <c r="Q29" s="3"/>
      <c r="R29" s="29"/>
      <c r="T29" s="2" t="s">
        <v>177</v>
      </c>
    </row>
    <row r="30" spans="1:20" x14ac:dyDescent="0.35">
      <c r="A30" s="34"/>
      <c r="D30" s="14"/>
      <c r="E30" s="2"/>
      <c r="F30" s="3" t="s">
        <v>32</v>
      </c>
      <c r="G30" s="14"/>
      <c r="H30" s="17"/>
      <c r="I30" s="14">
        <f t="shared" si="0"/>
        <v>16</v>
      </c>
      <c r="J30" s="14"/>
      <c r="K30" s="10"/>
      <c r="L30" s="3" t="s">
        <v>175</v>
      </c>
      <c r="M30" t="s">
        <v>176</v>
      </c>
      <c r="N30" s="29"/>
      <c r="Q30" s="3"/>
      <c r="R30" s="29"/>
      <c r="T30" s="2" t="s">
        <v>176</v>
      </c>
    </row>
    <row r="31" spans="1:20" x14ac:dyDescent="0.35">
      <c r="A31" s="34"/>
      <c r="D31" s="14"/>
      <c r="E31" s="2"/>
      <c r="F31" s="3" t="s">
        <v>32</v>
      </c>
      <c r="G31" s="14"/>
      <c r="H31" s="17"/>
      <c r="I31" s="14">
        <f t="shared" si="0"/>
        <v>16</v>
      </c>
      <c r="J31" s="14"/>
      <c r="K31" s="10"/>
      <c r="L31" s="3" t="s">
        <v>195</v>
      </c>
      <c r="M31" t="s">
        <v>196</v>
      </c>
      <c r="N31" s="29"/>
      <c r="Q31" s="3"/>
      <c r="R31" s="29"/>
      <c r="T31" s="2"/>
    </row>
    <row r="32" spans="1:20" s="13" customFormat="1" ht="87" x14ac:dyDescent="0.35">
      <c r="A32" s="36"/>
      <c r="B32" s="12"/>
      <c r="C32" s="12"/>
      <c r="D32" s="14"/>
      <c r="E32" s="37" t="s">
        <v>165</v>
      </c>
      <c r="F32" s="5" t="s">
        <v>32</v>
      </c>
      <c r="G32" s="5" t="s">
        <v>48</v>
      </c>
      <c r="H32" s="5" t="s">
        <v>50</v>
      </c>
      <c r="I32" s="14">
        <f t="shared" si="0"/>
        <v>16</v>
      </c>
      <c r="J32" s="33">
        <v>4</v>
      </c>
      <c r="K32" s="14" t="str">
        <f xml:space="preserve"> IFERROR("0x" &amp; DEC2HEX(VLOOKUP(F32,Common!$C$10:$D$34,2,FALSE),2) &amp; DEC2HEX(I32,3) &amp; DEC2HEX(VLOOKUP(G32,Common!$C$51:$D$55,2,FALSE),1) &amp; DEC2HEX(1+2*VLOOKUP(H32,Common!$C$69:$D$72,2,FALSE),1) &amp; DEC2HEX(IFERROR(LOG(J32,2),0),1),0)</f>
        <v>0x00010152</v>
      </c>
      <c r="L32" s="14" t="str">
        <f>IF(AND(LEN(E32)&lt;&gt;0,S32=""),F32&amp;"_"&amp;UPPER(E32),"")</f>
        <v>SYS_COMMAND</v>
      </c>
      <c r="M32" s="38" t="s">
        <v>166</v>
      </c>
      <c r="N32" s="33"/>
      <c r="O32" s="33">
        <v>0</v>
      </c>
      <c r="P32" s="33">
        <v>9901</v>
      </c>
      <c r="Q32" s="33"/>
      <c r="R32" s="5"/>
      <c r="S32" s="33"/>
      <c r="T32" s="39" t="s">
        <v>190</v>
      </c>
    </row>
    <row r="33" spans="1:23" x14ac:dyDescent="0.35">
      <c r="A33" s="34"/>
      <c r="D33" s="14"/>
      <c r="E33" s="2" t="s">
        <v>146</v>
      </c>
      <c r="F33" s="3" t="s">
        <v>32</v>
      </c>
      <c r="G33" s="5" t="s">
        <v>48</v>
      </c>
      <c r="H33" s="18" t="s">
        <v>50</v>
      </c>
      <c r="I33" s="14">
        <f t="shared" si="0"/>
        <v>20</v>
      </c>
      <c r="J33" s="29">
        <v>4</v>
      </c>
      <c r="K33" s="10" t="str">
        <f xml:space="preserve"> IFERROR("0x" &amp; DEC2HEX(VLOOKUP(F33,Common!$C$10:$D$34,2,FALSE),2) &amp; DEC2HEX(I33,3) &amp; DEC2HEX(VLOOKUP(G33,Common!$C$51:$D$55,2,FALSE),1) &amp; DEC2HEX(1+2*VLOOKUP(H33,Common!$C$69:$D$72,2,FALSE),1) &amp; DEC2HEX(IFERROR(LOG(J33,2),0),1),0)</f>
        <v>0x00014152</v>
      </c>
      <c r="L33" s="10" t="str">
        <f>IF(AND(LEN(E33)&lt;&gt;0,S33=""),F33&amp;"_"&amp;UPPER(E33),"")</f>
        <v>SYS_TEST</v>
      </c>
      <c r="M33" s="2" t="s">
        <v>147</v>
      </c>
      <c r="N33" s="10">
        <v>0</v>
      </c>
      <c r="R33" s="29"/>
      <c r="T33" s="2" t="s">
        <v>188</v>
      </c>
    </row>
    <row r="34" spans="1:23" x14ac:dyDescent="0.35">
      <c r="A34" s="34"/>
      <c r="D34" s="14"/>
      <c r="E34" s="2"/>
      <c r="F34" s="3"/>
      <c r="G34" s="5"/>
      <c r="H34" s="18"/>
      <c r="I34" s="14"/>
      <c r="J34" s="29"/>
      <c r="K34" s="10"/>
      <c r="M34" s="2"/>
      <c r="Q34" s="29"/>
      <c r="R34" s="3"/>
      <c r="S34" s="29"/>
      <c r="T34" s="35"/>
    </row>
    <row r="35" spans="1:23" x14ac:dyDescent="0.35">
      <c r="A35" s="34"/>
      <c r="D35" s="14"/>
      <c r="E35" s="2"/>
      <c r="F35" s="3"/>
      <c r="G35" s="5"/>
      <c r="H35" s="18"/>
      <c r="I35" s="14"/>
      <c r="J35" s="29"/>
      <c r="K35" s="10"/>
      <c r="M35" s="2"/>
      <c r="Q35" s="29"/>
      <c r="R35" s="3"/>
      <c r="S35" s="29"/>
      <c r="T35" s="35"/>
    </row>
    <row r="36" spans="1:23" x14ac:dyDescent="0.35">
      <c r="A36" s="34"/>
      <c r="D36" s="14"/>
      <c r="E36" s="2"/>
      <c r="F36" s="3"/>
      <c r="G36" s="5"/>
      <c r="H36" s="18"/>
      <c r="I36" s="14"/>
      <c r="J36" s="29"/>
      <c r="K36" s="10"/>
      <c r="M36" s="2"/>
      <c r="Q36" s="29"/>
      <c r="R36" s="3"/>
      <c r="S36" s="29"/>
      <c r="T36" s="35"/>
    </row>
    <row r="37" spans="1:23" x14ac:dyDescent="0.35">
      <c r="D37" s="14"/>
      <c r="K37" s="10"/>
      <c r="R37" s="3"/>
    </row>
    <row r="38" spans="1:23" x14ac:dyDescent="0.35">
      <c r="A38" s="34"/>
      <c r="D38" s="14"/>
      <c r="E38" s="11" t="s">
        <v>9</v>
      </c>
      <c r="F38" s="14" t="s">
        <v>30</v>
      </c>
      <c r="G38" s="5" t="s">
        <v>48</v>
      </c>
      <c r="H38" s="18" t="s">
        <v>45</v>
      </c>
      <c r="I38" s="14">
        <v>0</v>
      </c>
      <c r="J38" s="14">
        <v>4</v>
      </c>
      <c r="K38" s="10" t="str">
        <f xml:space="preserve"> IFERROR("0x" &amp; DEC2HEX(VLOOKUP(F38,Common!$C$10:$D$34,2,FALSE),2) &amp; DEC2HEX(I38,3) &amp; DEC2HEX(VLOOKUP(G38,Common!$C$51:$D$55,2,FALSE),1) &amp; DEC2HEX(1+2*VLOOKUP(H38,Common!$C$69:$D$72,2,FALSE),1) &amp; DEC2HEX(IFERROR(LOG(J38,2),0),1),0)</f>
        <v>0x01000112</v>
      </c>
      <c r="L38" s="10" t="str">
        <f>IF(AND(LEN(E38)&lt;&gt;0,S38=""),F38&amp;"_"&amp;UPPER(E38),"")</f>
        <v>FACT_SERIAL_NUMBER</v>
      </c>
      <c r="M38" t="s">
        <v>135</v>
      </c>
      <c r="N38" s="3"/>
      <c r="R38" s="29"/>
      <c r="T38" t="s">
        <v>125</v>
      </c>
    </row>
    <row r="39" spans="1:23" x14ac:dyDescent="0.35">
      <c r="A39" s="34"/>
      <c r="D39" s="14"/>
      <c r="E39" s="11" t="s">
        <v>22</v>
      </c>
      <c r="F39" s="14" t="s">
        <v>30</v>
      </c>
      <c r="G39" s="5" t="s">
        <v>48</v>
      </c>
      <c r="H39" s="18" t="s">
        <v>45</v>
      </c>
      <c r="I39" s="14">
        <f t="shared" ref="I39:I46" si="1" xml:space="preserve"> I38+J38</f>
        <v>4</v>
      </c>
      <c r="J39" s="14">
        <v>4</v>
      </c>
      <c r="K39" s="10" t="str">
        <f xml:space="preserve"> IFERROR("0x" &amp; DEC2HEX(VLOOKUP(F39,Common!$C$10:$D$34,2,FALSE),2) &amp; DEC2HEX(I39,3) &amp; DEC2HEX(VLOOKUP(G39,Common!$C$51:$D$55,2,FALSE),1) &amp; DEC2HEX(1+2*VLOOKUP(H39,Common!$C$69:$D$72,2,FALSE),1) &amp; DEC2HEX(IFERROR(LOG(J39,2),0),1),0)</f>
        <v>0x01004112</v>
      </c>
      <c r="L39" s="10" t="str">
        <f>IF(AND(LEN(E39)&lt;&gt;0,S39=""),F39&amp;"_"&amp;UPPER(E39),"")</f>
        <v>FACT_DEVICE_ID</v>
      </c>
      <c r="M39" t="s">
        <v>136</v>
      </c>
      <c r="N39" s="3"/>
      <c r="O39" s="10">
        <v>9152</v>
      </c>
      <c r="P39" s="10">
        <v>9152</v>
      </c>
      <c r="R39" s="29"/>
      <c r="T39" t="s">
        <v>189</v>
      </c>
    </row>
    <row r="40" spans="1:23" x14ac:dyDescent="0.35">
      <c r="A40" s="34"/>
      <c r="D40" s="14"/>
      <c r="E40" s="11" t="s">
        <v>15</v>
      </c>
      <c r="F40" s="14" t="s">
        <v>30</v>
      </c>
      <c r="G40" s="5" t="s">
        <v>48</v>
      </c>
      <c r="H40" s="18" t="s">
        <v>45</v>
      </c>
      <c r="I40" s="14">
        <f t="shared" si="1"/>
        <v>8</v>
      </c>
      <c r="J40" s="14">
        <v>4</v>
      </c>
      <c r="K40" s="10" t="str">
        <f xml:space="preserve"> IFERROR("0x" &amp; DEC2HEX(VLOOKUP(F40,Common!$C$10:$D$34,2,FALSE),2) &amp; DEC2HEX(I40,3) &amp; DEC2HEX(VLOOKUP(G40,Common!$C$51:$D$55,2,FALSE),1) &amp; DEC2HEX(1+2*VLOOKUP(H40,Common!$C$69:$D$72,2,FALSE),1) &amp; DEC2HEX(IFERROR(LOG(J40,2),0),1),0)</f>
        <v>0x01008112</v>
      </c>
      <c r="L40" s="10" t="str">
        <f>IF(AND(LEN(E40)&lt;&gt;0,S40=""),F40&amp;"_"&amp;UPPER(E40),"")</f>
        <v>FACT_HW_REVISION</v>
      </c>
      <c r="M40" t="s">
        <v>137</v>
      </c>
      <c r="N40" s="3"/>
      <c r="O40" s="3">
        <v>1001</v>
      </c>
      <c r="P40" s="3">
        <v>5099</v>
      </c>
      <c r="R40" s="29"/>
      <c r="T40" t="s">
        <v>183</v>
      </c>
    </row>
    <row r="41" spans="1:23" x14ac:dyDescent="0.35">
      <c r="A41" s="34"/>
      <c r="D41" s="14"/>
      <c r="E41" s="11" t="s">
        <v>34</v>
      </c>
      <c r="F41" s="14" t="s">
        <v>30</v>
      </c>
      <c r="G41" s="5" t="s">
        <v>48</v>
      </c>
      <c r="H41" s="18" t="s">
        <v>45</v>
      </c>
      <c r="I41" s="14">
        <f t="shared" si="1"/>
        <v>12</v>
      </c>
      <c r="J41" s="14">
        <v>4</v>
      </c>
      <c r="K41" s="10" t="str">
        <f xml:space="preserve"> IFERROR("0x" &amp; DEC2HEX(VLOOKUP(F41,Common!$C$10:$D$34,2,FALSE),2) &amp; DEC2HEX(I41,3) &amp; DEC2HEX(VLOOKUP(G41,Common!$C$51:$D$55,2,FALSE),1) &amp; DEC2HEX(1+2*VLOOKUP(H41,Common!$C$69:$D$72,2,FALSE),1) &amp; DEC2HEX(IFERROR(LOG(J41,2),0),1),0)</f>
        <v>0x0100C112</v>
      </c>
      <c r="L41" s="10" t="str">
        <f>IF(AND(LEN(E41)&lt;&gt;0,S41=""),F41&amp;"_"&amp;UPPER(E41),"")</f>
        <v>FACT_BOOT_REVISION</v>
      </c>
      <c r="M41" t="s">
        <v>138</v>
      </c>
      <c r="O41" s="3">
        <v>1001</v>
      </c>
      <c r="P41" s="3">
        <v>5099</v>
      </c>
      <c r="R41" s="29"/>
      <c r="T41" t="s">
        <v>126</v>
      </c>
    </row>
    <row r="42" spans="1:23" x14ac:dyDescent="0.35">
      <c r="D42" s="14"/>
      <c r="E42" s="11"/>
      <c r="F42" s="14"/>
      <c r="G42" s="5"/>
      <c r="H42" s="18"/>
      <c r="I42" s="14"/>
      <c r="J42" s="14"/>
      <c r="K42" s="10"/>
      <c r="M42"/>
      <c r="O42" s="3"/>
      <c r="P42" s="3"/>
      <c r="R42" s="29"/>
      <c r="T42"/>
    </row>
    <row r="43" spans="1:23" ht="15" customHeight="1" x14ac:dyDescent="0.35">
      <c r="A43" s="34"/>
      <c r="D43" s="15"/>
      <c r="E43" s="11" t="s">
        <v>35</v>
      </c>
      <c r="F43" s="10" t="s">
        <v>31</v>
      </c>
      <c r="G43" s="5" t="s">
        <v>48</v>
      </c>
      <c r="H43" s="18" t="s">
        <v>45</v>
      </c>
      <c r="I43" s="14">
        <v>0</v>
      </c>
      <c r="J43" s="10">
        <v>4</v>
      </c>
      <c r="K43" s="10" t="str">
        <f xml:space="preserve"> IFERROR("0x" &amp; DEC2HEX(VLOOKUP(F43,Common!$C$10:$D$34,2,FALSE),2) &amp; DEC2HEX(I43,3) &amp; DEC2HEX(VLOOKUP(G43,Common!$C$51:$D$55,2,FALSE),1) &amp; DEC2HEX(1+2*VLOOKUP(H43,Common!$C$69:$D$72,2,FALSE),1) &amp; DEC2HEX(IFERROR(LOG(J43,2),0),1),0)</f>
        <v>0x02000112</v>
      </c>
      <c r="L43" s="10" t="str">
        <f>IF(AND(LEN(E43)&lt;&gt;0,S43=""),F43&amp;"_"&amp;UPPER(E43),"")</f>
        <v>FIRM_REVISION</v>
      </c>
      <c r="M43" t="s">
        <v>187</v>
      </c>
      <c r="O43" s="29">
        <v>1</v>
      </c>
      <c r="P43" s="10">
        <v>999</v>
      </c>
      <c r="R43" s="29"/>
      <c r="T43" t="s">
        <v>127</v>
      </c>
    </row>
    <row r="44" spans="1:23" x14ac:dyDescent="0.35">
      <c r="A44" s="34"/>
      <c r="D44" s="15"/>
      <c r="E44" s="11" t="s">
        <v>12</v>
      </c>
      <c r="F44" s="10" t="s">
        <v>31</v>
      </c>
      <c r="G44" s="5" t="s">
        <v>48</v>
      </c>
      <c r="H44" s="18" t="s">
        <v>45</v>
      </c>
      <c r="I44" s="14">
        <f t="shared" si="1"/>
        <v>4</v>
      </c>
      <c r="J44" s="10">
        <v>4</v>
      </c>
      <c r="K44" s="10" t="str">
        <f xml:space="preserve"> IFERROR("0x" &amp; DEC2HEX(VLOOKUP(F44,Common!$C$10:$D$34,2,FALSE),2) &amp; DEC2HEX(I44,3) &amp; DEC2HEX(VLOOKUP(G44,Common!$C$51:$D$55,2,FALSE),1) &amp; DEC2HEX(1+2*VLOOKUP(H44,Common!$C$69:$D$72,2,FALSE),1) &amp; DEC2HEX(IFERROR(LOG(J44,2),0),1),0)</f>
        <v>0x02004112</v>
      </c>
      <c r="L44" s="10" t="str">
        <f>IF(AND(LEN(E44)&lt;&gt;0,S44=""),F44&amp;"_"&amp;UPPER(E44),"")</f>
        <v>FIRM_ASSEMBLY_INFO</v>
      </c>
      <c r="M44" t="s">
        <v>139</v>
      </c>
      <c r="O44" s="29">
        <v>20220400</v>
      </c>
      <c r="P44" s="29">
        <v>20230330</v>
      </c>
      <c r="R44" s="29"/>
      <c r="T44" t="s">
        <v>128</v>
      </c>
    </row>
    <row r="45" spans="1:23" x14ac:dyDescent="0.35">
      <c r="A45" s="34"/>
      <c r="D45" s="15"/>
      <c r="E45" s="11" t="s">
        <v>36</v>
      </c>
      <c r="F45" s="10" t="s">
        <v>31</v>
      </c>
      <c r="G45" s="5" t="s">
        <v>48</v>
      </c>
      <c r="H45" s="18" t="s">
        <v>45</v>
      </c>
      <c r="I45" s="14">
        <f t="shared" si="1"/>
        <v>8</v>
      </c>
      <c r="J45" s="10">
        <v>4</v>
      </c>
      <c r="K45" s="10" t="str">
        <f xml:space="preserve"> IFERROR("0x" &amp; DEC2HEX(VLOOKUP(F45,Common!$C$10:$D$34,2,FALSE),2) &amp; DEC2HEX(I45,3) &amp; DEC2HEX(VLOOKUP(G45,Common!$C$51:$D$55,2,FALSE),1) &amp; DEC2HEX(1+2*VLOOKUP(H45,Common!$C$69:$D$72,2,FALSE),1) &amp; DEC2HEX(IFERROR(LOG(J45,2),0),1),0)</f>
        <v>0x02008112</v>
      </c>
      <c r="L45" s="10" t="str">
        <f>IF(AND(LEN(E45)&lt;&gt;0,S45=""),F45&amp;"_"&amp;UPPER(E45),"")</f>
        <v>FIRM_APP_CHECKSUM</v>
      </c>
      <c r="M45" t="s">
        <v>140</v>
      </c>
      <c r="R45" s="29"/>
      <c r="T45" t="s">
        <v>42</v>
      </c>
    </row>
    <row r="46" spans="1:23" x14ac:dyDescent="0.35">
      <c r="A46" s="34"/>
      <c r="D46" s="15"/>
      <c r="E46" s="11" t="s">
        <v>37</v>
      </c>
      <c r="F46" s="10" t="s">
        <v>31</v>
      </c>
      <c r="G46" s="5" t="s">
        <v>48</v>
      </c>
      <c r="H46" s="18" t="s">
        <v>45</v>
      </c>
      <c r="I46" s="14">
        <f t="shared" si="1"/>
        <v>12</v>
      </c>
      <c r="J46" s="10">
        <v>4</v>
      </c>
      <c r="K46" s="10" t="str">
        <f xml:space="preserve"> IFERROR("0x" &amp; DEC2HEX(VLOOKUP(F46,Common!$C$10:$D$34,2,FALSE),2) &amp; DEC2HEX(I46,3) &amp; DEC2HEX(VLOOKUP(G46,Common!$C$51:$D$55,2,FALSE),1) &amp; DEC2HEX(1+2*VLOOKUP(H46,Common!$C$69:$D$72,2,FALSE),1) &amp; DEC2HEX(IFERROR(LOG(J46,2),0),1),0)</f>
        <v>0x0200C112</v>
      </c>
      <c r="L46" s="10" t="str">
        <f>IF(AND(LEN(E46)&lt;&gt;0,S46=""),F46&amp;"_"&amp;UPPER(E46),"")</f>
        <v>FIRM_APP_SIZE</v>
      </c>
      <c r="M46" t="s">
        <v>141</v>
      </c>
      <c r="O46" s="10">
        <v>10000</v>
      </c>
      <c r="P46" s="10">
        <v>256000</v>
      </c>
      <c r="R46" s="29"/>
      <c r="T46" t="s">
        <v>129</v>
      </c>
    </row>
    <row r="47" spans="1:23" x14ac:dyDescent="0.35">
      <c r="D47" s="15"/>
      <c r="E47" s="2"/>
      <c r="F47" s="5"/>
      <c r="G47" s="5"/>
      <c r="H47" s="18"/>
      <c r="I47" s="14"/>
      <c r="J47" s="14"/>
      <c r="K47" s="10"/>
      <c r="L47" s="3"/>
      <c r="M47"/>
      <c r="R47" s="29"/>
      <c r="T47"/>
    </row>
    <row r="48" spans="1:23" s="34" customFormat="1" x14ac:dyDescent="0.35">
      <c r="B48" s="12"/>
      <c r="C48" s="12"/>
      <c r="D48"/>
      <c r="E48"/>
      <c r="F48" s="3"/>
      <c r="G48" s="3"/>
      <c r="H48" s="3"/>
      <c r="I48" s="33"/>
      <c r="J48" s="29"/>
      <c r="K48" s="29"/>
      <c r="L48" s="29"/>
      <c r="M48" s="21"/>
      <c r="N48" s="29"/>
      <c r="O48" s="3"/>
      <c r="P48" s="3"/>
      <c r="Q48" s="3"/>
      <c r="R48" s="3"/>
      <c r="S48"/>
      <c r="T48"/>
      <c r="U48"/>
      <c r="V48"/>
      <c r="W48"/>
    </row>
    <row r="49" spans="2:26" s="34" customFormat="1" x14ac:dyDescent="0.35">
      <c r="B49" s="12"/>
      <c r="C49" s="12"/>
      <c r="D49"/>
      <c r="E49"/>
      <c r="F49" s="3"/>
      <c r="G49" s="3"/>
      <c r="H49" s="3"/>
      <c r="I49" s="33"/>
      <c r="J49" s="29"/>
      <c r="K49" s="29"/>
      <c r="L49" s="3"/>
      <c r="M49" s="21"/>
      <c r="N49" s="29"/>
      <c r="O49" s="3"/>
      <c r="P49" s="3"/>
      <c r="Q49" s="3"/>
      <c r="R49" s="3"/>
      <c r="S49"/>
      <c r="T49"/>
      <c r="U49"/>
      <c r="V49"/>
      <c r="W49"/>
    </row>
    <row r="50" spans="2:26" s="34" customFormat="1" x14ac:dyDescent="0.35">
      <c r="B50" s="12"/>
      <c r="C50" s="12"/>
      <c r="D50"/>
      <c r="E50"/>
      <c r="F50" s="3"/>
      <c r="G50" s="3"/>
      <c r="H50" s="3"/>
      <c r="I50" s="33"/>
      <c r="J50" s="3"/>
      <c r="K50" s="29"/>
      <c r="L50" s="3"/>
      <c r="M50" s="21"/>
      <c r="N50" s="3"/>
      <c r="O50" s="3"/>
      <c r="P50" s="3"/>
      <c r="Q50" s="3"/>
      <c r="R50" s="3"/>
      <c r="S50"/>
      <c r="T50"/>
      <c r="U50"/>
      <c r="V50"/>
      <c r="W50"/>
    </row>
    <row r="51" spans="2:26" s="34" customFormat="1" x14ac:dyDescent="0.35">
      <c r="B51" s="12"/>
      <c r="C51" s="12"/>
      <c r="D51"/>
      <c r="E51"/>
      <c r="F51" s="3"/>
      <c r="G51" s="3"/>
      <c r="H51" s="3"/>
      <c r="I51" s="33"/>
      <c r="J51" s="3"/>
      <c r="K51" s="29"/>
      <c r="L51" s="3"/>
      <c r="M51" s="21"/>
      <c r="N51" s="3"/>
      <c r="O51" s="3"/>
      <c r="P51" s="3"/>
      <c r="Q51" s="3"/>
      <c r="R51" s="3"/>
      <c r="S51"/>
      <c r="T51"/>
      <c r="U51"/>
      <c r="V51"/>
      <c r="W51"/>
    </row>
    <row r="52" spans="2:26" s="34" customFormat="1" x14ac:dyDescent="0.35">
      <c r="B52" s="12"/>
      <c r="C52" s="12"/>
      <c r="D52"/>
      <c r="E52"/>
      <c r="F52" s="3"/>
      <c r="G52" s="3"/>
      <c r="H52" s="3"/>
      <c r="I52" s="33"/>
      <c r="J52" s="3"/>
      <c r="K52" s="29"/>
      <c r="L52" s="3"/>
      <c r="M52" s="21"/>
      <c r="N52" s="3"/>
      <c r="O52" s="3"/>
      <c r="P52" s="3"/>
      <c r="Q52" s="3"/>
      <c r="R52" s="3"/>
      <c r="S52"/>
      <c r="T52"/>
      <c r="U52"/>
      <c r="V52"/>
      <c r="W52"/>
    </row>
    <row r="53" spans="2:26" s="34" customFormat="1" ht="15" customHeight="1" x14ac:dyDescent="0.35">
      <c r="B53" s="12"/>
      <c r="C53" s="12"/>
      <c r="D53"/>
      <c r="E53"/>
      <c r="F53" s="3"/>
      <c r="G53" s="3"/>
      <c r="H53" s="3"/>
      <c r="I53" s="33"/>
      <c r="J53" s="3"/>
      <c r="K53" s="29"/>
      <c r="L53" s="3"/>
      <c r="M53" s="21"/>
      <c r="N53" s="3"/>
      <c r="O53" s="3"/>
      <c r="P53" s="3"/>
      <c r="Q53" s="3"/>
      <c r="R53" s="3"/>
      <c r="S53"/>
      <c r="T53"/>
      <c r="U53"/>
      <c r="V53"/>
      <c r="W53"/>
      <c r="X53" s="40"/>
      <c r="Z53" s="29"/>
    </row>
    <row r="54" spans="2:26" s="34" customFormat="1" x14ac:dyDescent="0.35">
      <c r="B54" s="12"/>
      <c r="C54" s="12"/>
      <c r="D54"/>
      <c r="E54"/>
      <c r="F54" s="3"/>
      <c r="G54" s="3"/>
      <c r="H54" s="3"/>
      <c r="I54" s="33"/>
      <c r="J54" s="29"/>
      <c r="K54" s="29"/>
      <c r="L54" s="29"/>
      <c r="M54" s="21"/>
      <c r="N54" s="29"/>
      <c r="O54" s="3"/>
      <c r="P54" s="3"/>
      <c r="Q54" s="3"/>
      <c r="R54" s="3"/>
      <c r="S54"/>
      <c r="T54"/>
      <c r="U54"/>
      <c r="V54"/>
      <c r="W54"/>
      <c r="Z54" s="29"/>
    </row>
    <row r="55" spans="2:26" s="34" customFormat="1" x14ac:dyDescent="0.35">
      <c r="B55" s="12"/>
      <c r="C55" s="12"/>
      <c r="D55"/>
      <c r="E55"/>
      <c r="F55" s="3"/>
      <c r="G55" s="3"/>
      <c r="H55" s="3"/>
      <c r="I55" s="33"/>
      <c r="J55" s="3"/>
      <c r="K55" s="29"/>
      <c r="L55" s="29"/>
      <c r="M55" s="21"/>
      <c r="N55" s="3"/>
      <c r="O55" s="3"/>
      <c r="P55" s="3"/>
      <c r="Q55" s="6"/>
      <c r="R55" s="3"/>
      <c r="S55"/>
      <c r="T55"/>
      <c r="U55"/>
      <c r="V55"/>
      <c r="W55"/>
      <c r="Z55" s="29"/>
    </row>
    <row r="56" spans="2:26" s="34" customFormat="1" x14ac:dyDescent="0.35">
      <c r="B56" s="12"/>
      <c r="C56" s="12"/>
      <c r="D56"/>
      <c r="E56"/>
      <c r="F56" s="3"/>
      <c r="G56" s="3"/>
      <c r="H56" s="3"/>
      <c r="I56" s="33"/>
      <c r="J56" s="3"/>
      <c r="K56" s="29"/>
      <c r="L56" s="29"/>
      <c r="M56" s="21"/>
      <c r="N56" s="3"/>
      <c r="O56" s="3"/>
      <c r="P56" s="3"/>
      <c r="Q56" s="3"/>
      <c r="R56" s="3"/>
      <c r="S56"/>
      <c r="T56"/>
      <c r="U56"/>
      <c r="V56"/>
      <c r="W56"/>
      <c r="Z56" s="29"/>
    </row>
    <row r="57" spans="2:26" s="34" customFormat="1" x14ac:dyDescent="0.35">
      <c r="B57" s="12"/>
      <c r="C57" s="12"/>
      <c r="D57"/>
      <c r="E57"/>
      <c r="F57" s="3"/>
      <c r="G57" s="3"/>
      <c r="H57" s="3"/>
      <c r="I57" s="33"/>
      <c r="J57" s="3"/>
      <c r="K57" s="29"/>
      <c r="L57" s="29"/>
      <c r="M57" s="21"/>
      <c r="N57" s="3"/>
      <c r="O57" s="3"/>
      <c r="P57" s="3"/>
      <c r="Q57" s="6"/>
      <c r="R57" s="3"/>
      <c r="S57"/>
      <c r="T57"/>
      <c r="U57"/>
      <c r="V57"/>
      <c r="W57"/>
    </row>
    <row r="58" spans="2:26" s="34" customFormat="1" x14ac:dyDescent="0.35">
      <c r="B58" s="12"/>
      <c r="C58" s="12"/>
      <c r="D58"/>
      <c r="E58"/>
      <c r="F58" s="3"/>
      <c r="G58" s="3"/>
      <c r="H58" s="3"/>
      <c r="I58" s="33"/>
      <c r="J58" s="3"/>
      <c r="K58" s="29"/>
      <c r="L58" s="29"/>
      <c r="M58" s="21"/>
      <c r="N58" s="3"/>
      <c r="O58" s="3"/>
      <c r="P58" s="3"/>
      <c r="Q58" s="3"/>
      <c r="R58" s="3"/>
      <c r="S58"/>
      <c r="T58"/>
      <c r="U58"/>
      <c r="V58"/>
      <c r="W58"/>
    </row>
    <row r="59" spans="2:26" s="34" customFormat="1" x14ac:dyDescent="0.35">
      <c r="B59" s="12"/>
      <c r="C59" s="12"/>
      <c r="D59"/>
      <c r="E59"/>
      <c r="F59" s="3"/>
      <c r="G59" s="3"/>
      <c r="H59" s="3"/>
      <c r="I59" s="33"/>
      <c r="J59" s="3"/>
      <c r="K59" s="29"/>
      <c r="L59" s="29"/>
      <c r="M59" s="21"/>
      <c r="N59" s="3"/>
      <c r="O59" s="3"/>
      <c r="P59" s="3"/>
      <c r="Q59" s="3"/>
      <c r="R59" s="3"/>
      <c r="S59"/>
      <c r="T59"/>
      <c r="U59"/>
      <c r="V59"/>
      <c r="W59"/>
    </row>
    <row r="60" spans="2:26" s="34" customFormat="1" x14ac:dyDescent="0.35">
      <c r="B60" s="12"/>
      <c r="C60" s="12"/>
      <c r="D60"/>
      <c r="E60"/>
      <c r="F60" s="3"/>
      <c r="G60" s="3"/>
      <c r="H60" s="3"/>
      <c r="I60" s="33"/>
      <c r="J60" s="3"/>
      <c r="K60" s="29"/>
      <c r="L60" s="29"/>
      <c r="M60" s="21"/>
      <c r="N60" s="29"/>
      <c r="O60" s="3"/>
      <c r="P60" s="3"/>
      <c r="Q60" s="3"/>
      <c r="R60" s="3"/>
      <c r="S60"/>
      <c r="T60"/>
      <c r="U60"/>
      <c r="V60"/>
      <c r="W60"/>
    </row>
    <row r="61" spans="2:26" s="34" customFormat="1" x14ac:dyDescent="0.35">
      <c r="B61" s="12"/>
      <c r="C61" s="12"/>
      <c r="D61"/>
      <c r="E61"/>
      <c r="F61" s="3"/>
      <c r="G61" s="3"/>
      <c r="H61" s="3"/>
      <c r="I61" s="33"/>
      <c r="J61" s="3"/>
      <c r="K61" s="29"/>
      <c r="L61" s="29"/>
      <c r="M61" s="21"/>
      <c r="N61" s="29"/>
      <c r="O61" s="29"/>
      <c r="P61" s="29"/>
      <c r="Q61" s="29"/>
      <c r="R61" s="29"/>
      <c r="S61"/>
      <c r="T61"/>
      <c r="U61"/>
      <c r="V61"/>
      <c r="W61"/>
    </row>
    <row r="62" spans="2:26" x14ac:dyDescent="0.35">
      <c r="D62" s="15"/>
      <c r="E62" s="2"/>
      <c r="F62" s="3"/>
      <c r="G62" s="5"/>
      <c r="H62" s="3"/>
      <c r="I62" s="14"/>
      <c r="K62" s="10"/>
      <c r="M62"/>
      <c r="R62" s="29"/>
      <c r="T62"/>
    </row>
    <row r="63" spans="2:26" x14ac:dyDescent="0.35">
      <c r="D63" s="15"/>
      <c r="E63" s="2"/>
      <c r="F63" s="3"/>
      <c r="G63" s="5"/>
      <c r="H63" s="3"/>
      <c r="I63" s="14"/>
      <c r="K63" s="29"/>
      <c r="L63" s="29"/>
      <c r="M63" s="21"/>
      <c r="R63" s="29"/>
      <c r="T63"/>
    </row>
    <row r="64" spans="2:26" x14ac:dyDescent="0.35">
      <c r="D64"/>
      <c r="E64" s="24"/>
      <c r="F64" s="23"/>
      <c r="G64" s="23"/>
      <c r="H64" s="26"/>
      <c r="I64" s="22"/>
      <c r="J64" s="22"/>
      <c r="K64" s="22"/>
      <c r="L64" s="22"/>
      <c r="M64" s="21"/>
      <c r="N64" s="22"/>
      <c r="O64" s="22"/>
      <c r="P64" s="22"/>
      <c r="Q64" s="23"/>
      <c r="R64" s="23"/>
      <c r="S64" s="22"/>
      <c r="T64" s="21"/>
      <c r="U64"/>
      <c r="V64"/>
      <c r="W64"/>
      <c r="X64"/>
      <c r="Y64"/>
    </row>
    <row r="65" spans="1:35" x14ac:dyDescent="0.35">
      <c r="D65"/>
      <c r="E65" s="2"/>
      <c r="F65" s="3"/>
      <c r="G65" s="3"/>
      <c r="H65" s="3"/>
      <c r="I65" s="14"/>
      <c r="J65" s="3"/>
      <c r="K65" s="10"/>
      <c r="M65" s="21"/>
      <c r="N65" s="3"/>
      <c r="O65" s="3"/>
      <c r="P65" s="3"/>
      <c r="Q65" s="3"/>
      <c r="R65" s="3"/>
      <c r="S65"/>
      <c r="T65" s="21"/>
      <c r="U65"/>
      <c r="V65"/>
      <c r="W65"/>
    </row>
    <row r="66" spans="1:35" ht="15" customHeight="1" x14ac:dyDescent="0.35">
      <c r="D66"/>
      <c r="E66" s="2"/>
      <c r="F66" s="3"/>
      <c r="G66" s="3"/>
      <c r="H66" s="3"/>
      <c r="I66" s="14"/>
      <c r="J66" s="3"/>
      <c r="K66" s="10"/>
      <c r="M66" s="21"/>
      <c r="N66" s="3"/>
      <c r="O66" s="3"/>
      <c r="P66" s="3"/>
      <c r="Q66" s="3"/>
      <c r="R66" s="3"/>
      <c r="S66"/>
      <c r="T66"/>
      <c r="U66"/>
      <c r="V66"/>
      <c r="W66"/>
    </row>
    <row r="67" spans="1:35" ht="15" customHeight="1" x14ac:dyDescent="0.35">
      <c r="D67"/>
      <c r="E67" s="2"/>
      <c r="F67" s="3"/>
      <c r="G67" s="3"/>
      <c r="H67" s="3"/>
      <c r="I67" s="14"/>
      <c r="J67" s="3"/>
      <c r="K67" s="10"/>
      <c r="M67" s="21"/>
      <c r="N67" s="3"/>
      <c r="O67" s="3"/>
      <c r="P67" s="3"/>
      <c r="Q67" s="3"/>
      <c r="R67" s="3"/>
      <c r="S67"/>
      <c r="T67"/>
      <c r="U67"/>
      <c r="V67"/>
      <c r="W67"/>
    </row>
    <row r="68" spans="1:35" x14ac:dyDescent="0.35">
      <c r="D68"/>
      <c r="E68" s="2"/>
      <c r="F68" s="3"/>
      <c r="G68" s="3"/>
      <c r="H68" s="3"/>
      <c r="I68" s="14"/>
      <c r="K68" s="10"/>
      <c r="M68" s="21"/>
      <c r="O68" s="3"/>
      <c r="P68" s="3"/>
      <c r="Q68" s="3"/>
      <c r="R68" s="3"/>
      <c r="S68"/>
      <c r="T68"/>
      <c r="U68"/>
      <c r="V68"/>
      <c r="W68"/>
    </row>
    <row r="69" spans="1:35" x14ac:dyDescent="0.35">
      <c r="D69"/>
      <c r="F69" s="3"/>
      <c r="I69" s="14"/>
      <c r="K69" s="10"/>
      <c r="L69" s="3"/>
      <c r="M69" s="21"/>
      <c r="O69" s="3"/>
      <c r="P69" s="3"/>
      <c r="Q69" s="3"/>
      <c r="R69" s="3"/>
      <c r="S69"/>
      <c r="T69"/>
      <c r="U69"/>
      <c r="V69"/>
      <c r="W69"/>
    </row>
    <row r="70" spans="1:35" x14ac:dyDescent="0.35">
      <c r="D70"/>
      <c r="F70" s="3"/>
      <c r="I70" s="14"/>
      <c r="K70" s="10"/>
      <c r="L70" s="3"/>
      <c r="M70" s="21"/>
      <c r="O70" s="3"/>
      <c r="P70" s="3"/>
      <c r="Q70" s="3"/>
      <c r="R70" s="3"/>
      <c r="S70"/>
      <c r="T70"/>
      <c r="U70"/>
      <c r="V70"/>
      <c r="W70"/>
    </row>
    <row r="71" spans="1:35" x14ac:dyDescent="0.35">
      <c r="D71"/>
      <c r="F71" s="3"/>
      <c r="I71" s="14"/>
      <c r="K71" s="10"/>
      <c r="L71" s="3"/>
      <c r="M71" s="21"/>
      <c r="O71" s="3"/>
      <c r="P71" s="3"/>
      <c r="Q71" s="3"/>
      <c r="R71" s="3"/>
      <c r="S71"/>
      <c r="T71"/>
      <c r="U71"/>
      <c r="V71"/>
      <c r="W71"/>
    </row>
    <row r="72" spans="1:35" x14ac:dyDescent="0.35">
      <c r="D72"/>
      <c r="E72"/>
      <c r="F72" s="3"/>
      <c r="G72" s="3"/>
      <c r="H72" s="3"/>
      <c r="I72" s="14"/>
      <c r="K72" s="10"/>
      <c r="M72" s="21"/>
      <c r="O72" s="3"/>
      <c r="P72" s="3"/>
      <c r="Q72" s="3"/>
      <c r="R72" s="3"/>
      <c r="S72"/>
      <c r="T72"/>
      <c r="U72"/>
      <c r="V72"/>
      <c r="W72"/>
    </row>
    <row r="73" spans="1:35" s="10" customFormat="1" x14ac:dyDescent="0.35">
      <c r="A73" s="12"/>
      <c r="B73" s="12"/>
      <c r="C73" s="12"/>
      <c r="D73"/>
      <c r="E73" s="24"/>
      <c r="F73" s="23"/>
      <c r="G73" s="23"/>
      <c r="H73" s="26"/>
      <c r="I73" s="22"/>
      <c r="J73" s="22"/>
      <c r="K73" s="22"/>
      <c r="L73" s="22"/>
      <c r="M73" s="21"/>
      <c r="N73" s="22"/>
      <c r="O73" s="22"/>
      <c r="P73" s="22"/>
      <c r="Q73" s="22"/>
      <c r="R73" s="28"/>
      <c r="S73" s="22"/>
      <c r="T73" s="21"/>
      <c r="U73"/>
      <c r="V73"/>
      <c r="W73"/>
      <c r="X73"/>
      <c r="Y73"/>
      <c r="Z73" s="12"/>
      <c r="AA73" s="12"/>
      <c r="AB73" s="12"/>
      <c r="AC73" s="12"/>
      <c r="AD73" s="12"/>
      <c r="AE73" s="12"/>
      <c r="AF73" s="12"/>
      <c r="AG73" s="12"/>
      <c r="AH73" s="12"/>
      <c r="AI73" s="12"/>
    </row>
    <row r="74" spans="1:35" s="10" customFormat="1" x14ac:dyDescent="0.35">
      <c r="A74" s="12"/>
      <c r="B74" s="12"/>
      <c r="C74" s="12"/>
      <c r="D74"/>
      <c r="E74" s="21"/>
      <c r="F74" s="23"/>
      <c r="G74" s="23"/>
      <c r="H74" s="26"/>
      <c r="I74" s="22"/>
      <c r="J74" s="22"/>
      <c r="K74" s="22"/>
      <c r="L74" s="22"/>
      <c r="M74" s="21"/>
      <c r="N74" s="22"/>
      <c r="O74" s="22"/>
      <c r="P74" s="22"/>
      <c r="Q74" s="23"/>
      <c r="R74" s="23"/>
      <c r="S74" s="22"/>
      <c r="T74" s="21"/>
      <c r="U74"/>
      <c r="V74"/>
      <c r="W74"/>
      <c r="X74"/>
      <c r="Y74"/>
      <c r="Z74" s="12"/>
      <c r="AA74" s="12"/>
      <c r="AB74" s="12"/>
      <c r="AC74" s="12"/>
      <c r="AD74" s="12"/>
      <c r="AE74" s="12"/>
      <c r="AF74" s="12"/>
      <c r="AG74" s="12"/>
      <c r="AH74" s="12"/>
      <c r="AI74" s="12"/>
    </row>
    <row r="75" spans="1:35" s="10" customFormat="1" x14ac:dyDescent="0.35">
      <c r="A75" s="12"/>
      <c r="B75" s="12"/>
      <c r="C75" s="12"/>
      <c r="D75"/>
      <c r="E75" s="21"/>
      <c r="F75" s="23"/>
      <c r="G75" s="23"/>
      <c r="H75" s="26"/>
      <c r="I75" s="22"/>
      <c r="J75" s="22"/>
      <c r="K75" s="22"/>
      <c r="L75" s="22"/>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35">
      <c r="A76" s="12"/>
      <c r="B76" s="12"/>
      <c r="C76" s="12"/>
      <c r="D76"/>
      <c r="E76" s="21"/>
      <c r="F76" s="23"/>
      <c r="G76" s="23"/>
      <c r="H76" s="26"/>
      <c r="I76" s="22"/>
      <c r="J76" s="22"/>
      <c r="K76" s="22"/>
      <c r="L76" s="22"/>
      <c r="M76" s="21"/>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35">
      <c r="A77" s="12"/>
      <c r="B77" s="12"/>
      <c r="C77" s="12"/>
      <c r="D77"/>
      <c r="E77" s="21"/>
      <c r="F77" s="23"/>
      <c r="G77" s="23"/>
      <c r="H77" s="26"/>
      <c r="I77" s="22"/>
      <c r="J77" s="22"/>
      <c r="K77" s="22"/>
      <c r="L77" s="22"/>
      <c r="M77" s="21"/>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35">
      <c r="A78" s="12"/>
      <c r="B78" s="12"/>
      <c r="C78" s="12"/>
      <c r="D78"/>
      <c r="E78" s="21"/>
      <c r="F78" s="23"/>
      <c r="G78" s="23"/>
      <c r="H78" s="26"/>
      <c r="I78" s="22"/>
      <c r="J78" s="22"/>
      <c r="K78" s="22"/>
      <c r="L78" s="22"/>
      <c r="M78" s="21"/>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35">
      <c r="A79" s="12"/>
      <c r="B79" s="12"/>
      <c r="C79" s="12"/>
      <c r="D79"/>
      <c r="E79" s="21"/>
      <c r="F79" s="23"/>
      <c r="G79" s="23"/>
      <c r="H79" s="26"/>
      <c r="I79" s="22"/>
      <c r="J79" s="22"/>
      <c r="K79" s="22"/>
      <c r="L79" s="22"/>
      <c r="M79" s="21"/>
      <c r="N79" s="22"/>
      <c r="O79" s="22"/>
      <c r="P79" s="22"/>
      <c r="Q79" s="23"/>
      <c r="R79" s="23"/>
      <c r="S79" s="22"/>
      <c r="T79" s="21"/>
      <c r="U79"/>
      <c r="V79"/>
      <c r="W79"/>
      <c r="X79"/>
      <c r="Y79"/>
      <c r="Z79" s="12"/>
      <c r="AA79" s="12"/>
      <c r="AB79" s="12"/>
      <c r="AC79" s="12"/>
      <c r="AD79" s="12"/>
      <c r="AE79" s="12"/>
      <c r="AF79" s="12"/>
      <c r="AG79" s="12"/>
      <c r="AH79" s="12"/>
      <c r="AI79" s="12"/>
    </row>
    <row r="80" spans="1:35" s="10" customFormat="1" x14ac:dyDescent="0.35">
      <c r="A80" s="12"/>
      <c r="B80" s="12"/>
      <c r="C80" s="12"/>
      <c r="D80"/>
      <c r="E80" s="22"/>
      <c r="F80" s="22"/>
      <c r="G80" s="22"/>
      <c r="H80" s="22"/>
      <c r="I80" s="22"/>
      <c r="J80" s="22"/>
      <c r="K80" s="22"/>
      <c r="L80" s="22"/>
      <c r="M80" s="22"/>
      <c r="N80" s="22"/>
      <c r="O80" s="22"/>
      <c r="P80" s="22"/>
      <c r="Q80" s="22"/>
      <c r="R80" s="28"/>
      <c r="S80" s="22"/>
      <c r="T80" s="22"/>
      <c r="U80"/>
      <c r="V80"/>
      <c r="W80"/>
      <c r="X80"/>
      <c r="Y80"/>
      <c r="Z80" s="12"/>
      <c r="AA80" s="12"/>
      <c r="AB80" s="12"/>
      <c r="AC80" s="12"/>
      <c r="AD80" s="12"/>
      <c r="AE80" s="12"/>
      <c r="AF80" s="12"/>
      <c r="AG80" s="12"/>
      <c r="AH80" s="12"/>
      <c r="AI80" s="12"/>
    </row>
    <row r="81" spans="1:35" s="10" customFormat="1" x14ac:dyDescent="0.35">
      <c r="A81" s="12"/>
      <c r="B81" s="12"/>
      <c r="C81" s="12"/>
      <c r="D81"/>
      <c r="E81" s="21"/>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35">
      <c r="A82" s="12"/>
      <c r="B82" s="12"/>
      <c r="C82" s="12"/>
      <c r="D82"/>
      <c r="E82" s="24"/>
      <c r="F82" s="23"/>
      <c r="G82" s="23"/>
      <c r="H82" s="26"/>
      <c r="I82" s="22"/>
      <c r="J82" s="22"/>
      <c r="K82" s="22"/>
      <c r="L82" s="22"/>
      <c r="M82" s="21"/>
      <c r="N82" s="22"/>
      <c r="O82" s="22"/>
      <c r="P82" s="22"/>
      <c r="Q82" s="23"/>
      <c r="R82" s="23"/>
      <c r="S82" s="22"/>
      <c r="T82" s="21"/>
      <c r="U82"/>
      <c r="V82"/>
      <c r="W82"/>
      <c r="X82"/>
      <c r="Y82"/>
      <c r="Z82" s="12"/>
      <c r="AA82" s="12"/>
      <c r="AB82" s="12"/>
      <c r="AC82" s="12"/>
      <c r="AD82" s="12"/>
      <c r="AE82" s="12"/>
      <c r="AF82" s="12"/>
      <c r="AG82" s="12"/>
      <c r="AH82" s="12"/>
      <c r="AI82" s="12"/>
    </row>
    <row r="83" spans="1:35" s="10" customFormat="1" x14ac:dyDescent="0.35">
      <c r="A83" s="12"/>
      <c r="B83" s="12"/>
      <c r="C83" s="12"/>
      <c r="D83"/>
      <c r="E83" s="24"/>
      <c r="F83" s="23"/>
      <c r="G83" s="23"/>
      <c r="H83" s="26"/>
      <c r="I83" s="22"/>
      <c r="J83" s="22"/>
      <c r="K83" s="22"/>
      <c r="L83" s="22"/>
      <c r="M83" s="21"/>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3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3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3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3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3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3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3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3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3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3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3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3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3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3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3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3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3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3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3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3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3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3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35">
      <c r="A106" s="12"/>
      <c r="B106" s="12"/>
      <c r="C106" s="12"/>
      <c r="D106"/>
      <c r="E106" s="24"/>
      <c r="F106" s="23"/>
      <c r="G106" s="23"/>
      <c r="H106" s="26"/>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35">
      <c r="A107" s="12"/>
      <c r="B107" s="12"/>
      <c r="C107" s="12"/>
      <c r="D107"/>
      <c r="E107" s="24"/>
      <c r="F107" s="23"/>
      <c r="G107" s="23"/>
      <c r="H107" s="26"/>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35">
      <c r="A108" s="12"/>
      <c r="B108" s="12"/>
      <c r="C108" s="12"/>
      <c r="D108"/>
      <c r="E108" s="24"/>
      <c r="F108" s="23"/>
      <c r="G108" s="23"/>
      <c r="H108" s="26"/>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35">
      <c r="A109" s="12"/>
      <c r="B109" s="12"/>
      <c r="C109" s="12"/>
      <c r="D109"/>
      <c r="E109" s="24"/>
      <c r="F109" s="23"/>
      <c r="G109" s="23"/>
      <c r="H109" s="26"/>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35">
      <c r="A110" s="12"/>
      <c r="B110" s="12"/>
      <c r="C110" s="12"/>
      <c r="D110"/>
      <c r="E110" s="24"/>
      <c r="F110" s="23"/>
      <c r="G110" s="23"/>
      <c r="H110" s="26"/>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35">
      <c r="A111" s="12"/>
      <c r="B111" s="12"/>
      <c r="C111" s="12"/>
      <c r="D111"/>
      <c r="E111" s="24"/>
      <c r="F111" s="23"/>
      <c r="G111" s="23"/>
      <c r="H111" s="26"/>
      <c r="I111" s="22"/>
      <c r="J111" s="22"/>
      <c r="K111" s="22"/>
      <c r="L111" s="22"/>
      <c r="M111" s="21"/>
      <c r="N111" s="22"/>
      <c r="O111" s="22"/>
      <c r="P111" s="22"/>
      <c r="Q111" s="23"/>
      <c r="R111" s="23"/>
      <c r="S111" s="22"/>
      <c r="T111" s="21"/>
      <c r="U111"/>
      <c r="V111"/>
      <c r="W111"/>
      <c r="X111"/>
      <c r="Y111"/>
      <c r="Z111" s="12"/>
      <c r="AA111" s="12"/>
      <c r="AB111" s="12"/>
      <c r="AC111" s="12"/>
      <c r="AD111" s="12"/>
      <c r="AE111" s="12"/>
      <c r="AF111" s="12"/>
      <c r="AG111" s="12"/>
      <c r="AH111" s="12"/>
      <c r="AI111" s="12"/>
    </row>
    <row r="112" spans="1:35" s="10" customFormat="1" x14ac:dyDescent="0.35">
      <c r="A112" s="12"/>
      <c r="B112" s="12"/>
      <c r="C112" s="12"/>
      <c r="D112"/>
      <c r="E112" s="24"/>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35">
      <c r="A113" s="12"/>
      <c r="B113" s="12"/>
      <c r="C113" s="12"/>
      <c r="D113"/>
      <c r="E113" s="24"/>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35">
      <c r="A114" s="12"/>
      <c r="B114" s="12"/>
      <c r="C114" s="12"/>
      <c r="D114"/>
      <c r="E114" s="24"/>
      <c r="F114" s="23"/>
      <c r="G114" s="22"/>
      <c r="H114" s="25"/>
      <c r="I114" s="22"/>
      <c r="J114" s="22"/>
      <c r="K114" s="22"/>
      <c r="L114" s="22"/>
      <c r="M114" s="24"/>
      <c r="N114" s="22"/>
      <c r="O114" s="22"/>
      <c r="P114" s="22"/>
      <c r="Q114" s="22"/>
      <c r="R114" s="22"/>
      <c r="S114" s="22"/>
      <c r="T114" s="19"/>
      <c r="U114"/>
      <c r="V114"/>
      <c r="W114"/>
      <c r="X114"/>
      <c r="Y114"/>
      <c r="Z114" s="12"/>
      <c r="AA114" s="12"/>
      <c r="AB114" s="12"/>
      <c r="AC114" s="12"/>
      <c r="AD114" s="12"/>
      <c r="AE114" s="12"/>
      <c r="AF114" s="12"/>
      <c r="AG114" s="12"/>
      <c r="AH114" s="12"/>
      <c r="AI114" s="12"/>
    </row>
    <row r="115" spans="1:35" s="10" customFormat="1" x14ac:dyDescent="0.35">
      <c r="A115" s="12"/>
      <c r="B115" s="12"/>
      <c r="C115" s="12"/>
      <c r="D115"/>
      <c r="E115" s="24"/>
      <c r="F115" s="23"/>
      <c r="G115" s="22"/>
      <c r="H115" s="22"/>
      <c r="I115" s="22"/>
      <c r="J115" s="22"/>
      <c r="K115" s="22"/>
      <c r="L115" s="22"/>
      <c r="M115" s="21"/>
      <c r="N115" s="22"/>
      <c r="O115" s="22"/>
      <c r="P115" s="22"/>
      <c r="Q115" s="22"/>
      <c r="R115" s="22"/>
      <c r="S115" s="22"/>
      <c r="T115" s="19"/>
      <c r="U115"/>
      <c r="V115"/>
      <c r="W115"/>
      <c r="X115"/>
      <c r="Y115"/>
      <c r="Z115" s="12"/>
      <c r="AA115" s="12"/>
      <c r="AB115" s="12"/>
      <c r="AC115" s="12"/>
      <c r="AD115" s="12"/>
      <c r="AE115" s="12"/>
      <c r="AF115" s="12"/>
      <c r="AG115" s="12"/>
      <c r="AH115" s="12"/>
      <c r="AI115" s="12"/>
    </row>
    <row r="116" spans="1:35" s="10" customFormat="1" x14ac:dyDescent="0.35">
      <c r="A116" s="12"/>
      <c r="B116" s="12"/>
      <c r="C116" s="12"/>
      <c r="D116"/>
      <c r="E116" s="24"/>
      <c r="F116" s="23"/>
      <c r="G116" s="23"/>
      <c r="H116" s="26"/>
      <c r="I116" s="22"/>
      <c r="J116" s="22"/>
      <c r="K116" s="22"/>
      <c r="L116" s="22"/>
      <c r="M116" s="24"/>
      <c r="N116" s="22"/>
      <c r="O116" s="22"/>
      <c r="P116" s="22"/>
      <c r="Q116" s="22"/>
      <c r="R116" s="28"/>
      <c r="S116" s="22"/>
      <c r="T116" s="24"/>
      <c r="U116"/>
      <c r="V116"/>
      <c r="W116"/>
      <c r="X116"/>
      <c r="Y116"/>
      <c r="Z116" s="12"/>
      <c r="AA116" s="12"/>
      <c r="AB116" s="12"/>
      <c r="AC116" s="12"/>
      <c r="AD116" s="12"/>
      <c r="AE116" s="12"/>
      <c r="AF116" s="12"/>
      <c r="AG116" s="12"/>
      <c r="AH116" s="12"/>
      <c r="AI116" s="12"/>
    </row>
    <row r="117" spans="1:35" s="10" customFormat="1" x14ac:dyDescent="0.35">
      <c r="A117" s="12"/>
      <c r="B117" s="12"/>
      <c r="C117" s="12"/>
      <c r="D117"/>
      <c r="E117" s="19"/>
      <c r="F117" s="23"/>
      <c r="G117" s="22"/>
      <c r="H117" s="22"/>
      <c r="I117" s="22"/>
      <c r="J117" s="22"/>
      <c r="K117" s="22"/>
      <c r="L117" s="23"/>
      <c r="M117" s="24"/>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35">
      <c r="A118" s="12"/>
      <c r="B118" s="12"/>
      <c r="C118" s="12"/>
      <c r="D118"/>
      <c r="E118" s="19"/>
      <c r="F118" s="23"/>
      <c r="G118" s="22"/>
      <c r="H118" s="25"/>
      <c r="I118" s="22"/>
      <c r="J118" s="22"/>
      <c r="K118" s="22"/>
      <c r="L118" s="23"/>
      <c r="M118" s="24"/>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35">
      <c r="A119" s="12"/>
      <c r="B119" s="12"/>
      <c r="C119" s="12"/>
      <c r="D119"/>
      <c r="E119" s="19"/>
      <c r="F119" s="23"/>
      <c r="G119" s="22"/>
      <c r="H119" s="22"/>
      <c r="I119" s="22"/>
      <c r="J119" s="22"/>
      <c r="K119" s="22"/>
      <c r="L119" s="23"/>
      <c r="M119" s="24"/>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35">
      <c r="A120" s="12"/>
      <c r="B120" s="12"/>
      <c r="C120" s="12"/>
      <c r="D120"/>
      <c r="E120" s="19"/>
      <c r="F120" s="23"/>
      <c r="G120" s="22"/>
      <c r="H120" s="22"/>
      <c r="I120" s="22"/>
      <c r="J120" s="22"/>
      <c r="K120" s="22"/>
      <c r="L120" s="23"/>
      <c r="M120" s="24"/>
      <c r="N120" s="22"/>
      <c r="O120" s="22"/>
      <c r="P120" s="22"/>
      <c r="Q120" s="22"/>
      <c r="R120" s="28"/>
      <c r="S120" s="22"/>
      <c r="T120" s="24"/>
      <c r="U120"/>
      <c r="V120"/>
      <c r="W120"/>
      <c r="X120"/>
      <c r="Y120"/>
      <c r="Z120" s="12"/>
      <c r="AA120" s="12"/>
      <c r="AB120" s="12"/>
      <c r="AC120" s="12"/>
      <c r="AD120" s="12"/>
      <c r="AE120" s="12"/>
      <c r="AF120" s="12"/>
      <c r="AG120" s="12"/>
      <c r="AH120" s="12"/>
      <c r="AI120" s="12"/>
    </row>
    <row r="121" spans="1:35" s="10" customFormat="1" x14ac:dyDescent="0.35">
      <c r="A121" s="12"/>
      <c r="B121" s="12"/>
      <c r="C121" s="12"/>
      <c r="D121"/>
      <c r="E121" s="24"/>
      <c r="F121" s="23"/>
      <c r="G121" s="23"/>
      <c r="H121" s="23"/>
      <c r="I121" s="22"/>
      <c r="J121" s="22"/>
      <c r="K121" s="22"/>
      <c r="L121" s="22"/>
      <c r="M121" s="24"/>
      <c r="N121" s="22"/>
      <c r="O121" s="22"/>
      <c r="P121" s="22"/>
      <c r="Q121" s="22"/>
      <c r="R121" s="28"/>
      <c r="S121" s="22"/>
      <c r="T121" s="24"/>
      <c r="U121"/>
      <c r="V121"/>
      <c r="W121"/>
      <c r="X121"/>
      <c r="Y121"/>
      <c r="Z121" s="12"/>
      <c r="AA121" s="12"/>
      <c r="AB121" s="12"/>
      <c r="AC121" s="12"/>
      <c r="AD121" s="12"/>
      <c r="AE121" s="12"/>
      <c r="AF121" s="12"/>
      <c r="AG121" s="12"/>
      <c r="AH121" s="12"/>
      <c r="AI121" s="12"/>
    </row>
    <row r="122" spans="1:35" s="10" customFormat="1" x14ac:dyDescent="0.35">
      <c r="A122" s="12"/>
      <c r="B122" s="12"/>
      <c r="C122" s="12"/>
      <c r="D122"/>
      <c r="E122" s="19"/>
      <c r="F122" s="23"/>
      <c r="G122" s="22"/>
      <c r="H122" s="22"/>
      <c r="I122" s="22"/>
      <c r="J122" s="22"/>
      <c r="K122" s="22"/>
      <c r="L122" s="23"/>
      <c r="M122" s="24"/>
      <c r="N122" s="22"/>
      <c r="O122" s="22"/>
      <c r="P122" s="22"/>
      <c r="Q122" s="22"/>
      <c r="R122" s="28"/>
      <c r="S122" s="22"/>
      <c r="T122" s="24"/>
      <c r="U122"/>
      <c r="V122"/>
      <c r="W122"/>
      <c r="X122"/>
      <c r="Y122"/>
      <c r="Z122" s="12"/>
      <c r="AA122" s="12"/>
      <c r="AB122" s="12"/>
      <c r="AC122" s="12"/>
      <c r="AD122" s="12"/>
      <c r="AE122" s="12"/>
      <c r="AF122" s="12"/>
      <c r="AG122" s="12"/>
      <c r="AH122" s="12"/>
      <c r="AI122" s="12"/>
    </row>
    <row r="123" spans="1:35" s="10" customFormat="1" x14ac:dyDescent="0.35">
      <c r="A123" s="12"/>
      <c r="B123" s="12"/>
      <c r="C123" s="12"/>
      <c r="D123"/>
      <c r="E123" s="19"/>
      <c r="F123" s="23"/>
      <c r="G123" s="22"/>
      <c r="H123" s="22"/>
      <c r="I123" s="22"/>
      <c r="J123" s="22"/>
      <c r="K123" s="22"/>
      <c r="L123" s="23"/>
      <c r="M123" s="21"/>
      <c r="N123" s="22"/>
      <c r="O123" s="22"/>
      <c r="P123" s="22"/>
      <c r="Q123" s="22"/>
      <c r="R123" s="28"/>
      <c r="S123" s="22"/>
      <c r="T123" s="24"/>
      <c r="U123"/>
      <c r="V123"/>
      <c r="W123"/>
      <c r="X123"/>
      <c r="Y123"/>
      <c r="Z123" s="12"/>
      <c r="AA123" s="12"/>
      <c r="AB123" s="12"/>
      <c r="AC123" s="12"/>
      <c r="AD123" s="12"/>
      <c r="AE123" s="12"/>
      <c r="AF123" s="12"/>
      <c r="AG123" s="12"/>
      <c r="AH123" s="12"/>
      <c r="AI123" s="12"/>
    </row>
    <row r="124" spans="1:35" s="10" customFormat="1" x14ac:dyDescent="0.35">
      <c r="A124" s="12"/>
      <c r="B124" s="12"/>
      <c r="C124" s="12"/>
      <c r="D124"/>
      <c r="E124" s="21"/>
      <c r="F124" s="23"/>
      <c r="G124" s="23"/>
      <c r="H124" s="23"/>
      <c r="I124" s="22"/>
      <c r="J124" s="22"/>
      <c r="K124" s="22"/>
      <c r="L124" s="22"/>
      <c r="M124" s="21"/>
      <c r="N124" s="22"/>
      <c r="O124" s="22"/>
      <c r="P124" s="22"/>
      <c r="Q124" s="22"/>
      <c r="R124" s="22"/>
      <c r="S124" s="22"/>
      <c r="T124" s="21"/>
      <c r="U124"/>
      <c r="V124"/>
      <c r="W124"/>
      <c r="X124"/>
      <c r="Y124"/>
      <c r="Z124" s="12"/>
      <c r="AA124" s="12"/>
      <c r="AB124" s="12"/>
      <c r="AC124" s="12"/>
      <c r="AD124" s="12"/>
      <c r="AE124" s="12"/>
      <c r="AF124" s="12"/>
      <c r="AG124" s="12"/>
      <c r="AH124" s="12"/>
      <c r="AI124" s="12"/>
    </row>
    <row r="125" spans="1:35" s="10" customFormat="1" x14ac:dyDescent="0.35">
      <c r="A125" s="12"/>
      <c r="B125" s="12"/>
      <c r="C125" s="12"/>
      <c r="D125"/>
      <c r="E125" s="24"/>
      <c r="F125" s="23"/>
      <c r="G125" s="23"/>
      <c r="H125" s="23"/>
      <c r="I125" s="22"/>
      <c r="J125" s="22"/>
      <c r="K125" s="22"/>
      <c r="L125" s="23"/>
      <c r="M125" s="21"/>
      <c r="N125" s="22"/>
      <c r="O125" s="22"/>
      <c r="P125" s="22"/>
      <c r="Q125" s="22"/>
      <c r="R125" s="28"/>
      <c r="S125" s="22"/>
      <c r="T125" s="24"/>
      <c r="U125"/>
      <c r="V125"/>
      <c r="W125"/>
      <c r="X125"/>
      <c r="Y125"/>
      <c r="Z125" s="12"/>
      <c r="AA125" s="12"/>
      <c r="AB125" s="12"/>
      <c r="AC125" s="12"/>
      <c r="AD125" s="12"/>
      <c r="AE125" s="12"/>
      <c r="AF125" s="12"/>
      <c r="AG125" s="12"/>
      <c r="AH125" s="12"/>
      <c r="AI125" s="12"/>
    </row>
    <row r="126" spans="1:35" s="10" customFormat="1" x14ac:dyDescent="0.35">
      <c r="A126" s="12"/>
      <c r="B126" s="12"/>
      <c r="C126" s="12"/>
      <c r="D126"/>
      <c r="E126" s="24"/>
      <c r="F126" s="23"/>
      <c r="G126" s="23"/>
      <c r="H126" s="23"/>
      <c r="I126" s="22"/>
      <c r="J126" s="22"/>
      <c r="K126" s="22"/>
      <c r="L126" s="23"/>
      <c r="M126" s="21"/>
      <c r="N126" s="22"/>
      <c r="O126" s="22"/>
      <c r="P126" s="22"/>
      <c r="Q126" s="22"/>
      <c r="R126" s="28"/>
      <c r="S126" s="22"/>
      <c r="T126" s="24"/>
      <c r="U126"/>
      <c r="V126"/>
      <c r="W126"/>
      <c r="X126"/>
      <c r="Y126"/>
      <c r="Z126" s="12"/>
      <c r="AA126" s="12"/>
      <c r="AB126" s="12"/>
      <c r="AC126" s="12"/>
      <c r="AD126" s="12"/>
      <c r="AE126" s="12"/>
      <c r="AF126" s="12"/>
      <c r="AG126" s="12"/>
      <c r="AH126" s="12"/>
      <c r="AI126" s="12"/>
    </row>
    <row r="127" spans="1:35" s="10" customFormat="1" x14ac:dyDescent="0.35">
      <c r="A127" s="12"/>
      <c r="B127" s="12"/>
      <c r="C127" s="12"/>
      <c r="D127"/>
      <c r="E127" s="24"/>
      <c r="F127" s="23"/>
      <c r="G127" s="23"/>
      <c r="H127" s="23"/>
      <c r="I127" s="22"/>
      <c r="J127" s="22"/>
      <c r="K127" s="22"/>
      <c r="L127" s="22"/>
      <c r="M127" s="21"/>
      <c r="N127" s="22"/>
      <c r="O127" s="22"/>
      <c r="P127" s="22"/>
      <c r="Q127" s="22"/>
      <c r="R127" s="28"/>
      <c r="S127" s="22"/>
      <c r="T127" s="24"/>
      <c r="U127"/>
      <c r="V127"/>
      <c r="W127"/>
      <c r="X127"/>
      <c r="Y127"/>
      <c r="Z127" s="12"/>
      <c r="AA127" s="12"/>
      <c r="AB127" s="12"/>
      <c r="AC127" s="12"/>
      <c r="AD127" s="12"/>
      <c r="AE127" s="12"/>
      <c r="AF127" s="12"/>
      <c r="AG127" s="12"/>
      <c r="AH127" s="12"/>
      <c r="AI127" s="12"/>
    </row>
    <row r="128" spans="1:35" s="10" customFormat="1" x14ac:dyDescent="0.35">
      <c r="A128" s="12"/>
      <c r="B128" s="12"/>
      <c r="C128" s="12"/>
      <c r="D128"/>
      <c r="E128" s="24"/>
      <c r="F128" s="23"/>
      <c r="G128" s="23"/>
      <c r="H128" s="26"/>
      <c r="I128" s="22"/>
      <c r="J128" s="22"/>
      <c r="K128" s="22"/>
      <c r="L128" s="22"/>
      <c r="M128" s="30"/>
      <c r="N128" s="22"/>
      <c r="O128" s="22"/>
      <c r="P128" s="22"/>
      <c r="Q128" s="23"/>
      <c r="R128" s="23"/>
      <c r="S128" s="22"/>
      <c r="T128" s="27"/>
      <c r="U128"/>
      <c r="V128"/>
      <c r="W128"/>
      <c r="X128"/>
      <c r="Y128"/>
      <c r="Z128" s="12"/>
      <c r="AA128" s="12"/>
      <c r="AB128" s="12"/>
      <c r="AC128" s="12"/>
      <c r="AD128" s="12"/>
      <c r="AE128" s="12"/>
      <c r="AF128" s="12"/>
      <c r="AG128" s="12"/>
      <c r="AH128" s="12"/>
      <c r="AI128" s="12"/>
    </row>
    <row r="129" spans="1:35" s="10" customFormat="1" x14ac:dyDescent="0.35">
      <c r="A129" s="12"/>
      <c r="B129" s="12"/>
      <c r="C129" s="12"/>
      <c r="D129"/>
      <c r="E129" s="24"/>
      <c r="F129" s="23"/>
      <c r="G129" s="23"/>
      <c r="H129" s="26"/>
      <c r="I129" s="22"/>
      <c r="J129" s="22"/>
      <c r="K129" s="22"/>
      <c r="L129" s="22"/>
      <c r="M129" s="24"/>
      <c r="N129" s="22"/>
      <c r="O129" s="22"/>
      <c r="P129" s="22"/>
      <c r="Q129" s="23"/>
      <c r="R129" s="23"/>
      <c r="S129" s="22"/>
      <c r="T129" s="24"/>
      <c r="U129"/>
      <c r="V129"/>
      <c r="W129"/>
      <c r="X129"/>
      <c r="Y129"/>
      <c r="Z129" s="12"/>
      <c r="AA129" s="12"/>
      <c r="AB129" s="12"/>
      <c r="AC129" s="12"/>
      <c r="AD129" s="12"/>
      <c r="AE129" s="12"/>
      <c r="AF129" s="12"/>
      <c r="AG129" s="12"/>
      <c r="AH129" s="12"/>
      <c r="AI129" s="12"/>
    </row>
    <row r="130" spans="1:35" s="10" customFormat="1" x14ac:dyDescent="0.35">
      <c r="A130" s="12"/>
      <c r="B130" s="12"/>
      <c r="C130" s="12"/>
      <c r="D130"/>
      <c r="E130" s="24"/>
      <c r="F130" s="23"/>
      <c r="G130" s="23"/>
      <c r="H130" s="26"/>
      <c r="I130" s="22"/>
      <c r="J130" s="22"/>
      <c r="K130" s="22"/>
      <c r="L130" s="22"/>
      <c r="M130" s="24"/>
      <c r="N130" s="22"/>
      <c r="O130" s="22"/>
      <c r="P130" s="22"/>
      <c r="Q130" s="23"/>
      <c r="R130" s="23"/>
      <c r="S130" s="22"/>
      <c r="T130" s="24"/>
      <c r="U130"/>
      <c r="V130"/>
      <c r="W130"/>
      <c r="X130"/>
      <c r="Y130"/>
      <c r="Z130" s="12"/>
      <c r="AA130" s="12"/>
      <c r="AB130" s="12"/>
      <c r="AC130" s="12"/>
      <c r="AD130" s="12"/>
      <c r="AE130" s="12"/>
      <c r="AF130" s="12"/>
      <c r="AG130" s="12"/>
      <c r="AH130" s="12"/>
      <c r="AI130" s="12"/>
    </row>
    <row r="131" spans="1:35" s="10" customFormat="1" x14ac:dyDescent="0.35">
      <c r="A131" s="12"/>
      <c r="B131" s="12"/>
      <c r="C131" s="12"/>
      <c r="D131"/>
      <c r="E131" s="24"/>
      <c r="F131" s="23"/>
      <c r="G131" s="23"/>
      <c r="H131" s="26"/>
      <c r="I131" s="22"/>
      <c r="J131" s="22"/>
      <c r="K131" s="22"/>
      <c r="L131" s="22"/>
      <c r="M131" s="24"/>
      <c r="N131" s="22"/>
      <c r="O131" s="22"/>
      <c r="P131" s="22"/>
      <c r="Q131" s="23"/>
      <c r="R131" s="23"/>
      <c r="S131" s="22"/>
      <c r="T131" s="24"/>
      <c r="U131"/>
      <c r="V131"/>
      <c r="W131"/>
      <c r="X131"/>
      <c r="Y131"/>
      <c r="Z131" s="12"/>
      <c r="AA131" s="12"/>
      <c r="AB131" s="12"/>
      <c r="AC131" s="12"/>
      <c r="AD131" s="12"/>
      <c r="AE131" s="12"/>
      <c r="AF131" s="12"/>
      <c r="AG131" s="12"/>
      <c r="AH131" s="12"/>
      <c r="AI131" s="12"/>
    </row>
    <row r="132" spans="1:35" s="10" customFormat="1" x14ac:dyDescent="0.35">
      <c r="A132" s="12"/>
      <c r="B132" s="12"/>
      <c r="C132" s="12"/>
      <c r="D132"/>
      <c r="E132" s="24"/>
      <c r="F132" s="23"/>
      <c r="G132" s="23"/>
      <c r="H132" s="26"/>
      <c r="I132" s="22"/>
      <c r="J132" s="22"/>
      <c r="K132" s="22"/>
      <c r="L132" s="22"/>
      <c r="M132" s="24"/>
      <c r="N132" s="22"/>
      <c r="O132" s="22"/>
      <c r="P132" s="22"/>
      <c r="Q132" s="23"/>
      <c r="R132" s="23"/>
      <c r="S132" s="22"/>
      <c r="T132" s="24"/>
      <c r="U132"/>
      <c r="V132"/>
      <c r="W132"/>
      <c r="X132"/>
      <c r="Y132"/>
      <c r="Z132" s="12"/>
      <c r="AA132" s="12"/>
      <c r="AB132" s="12"/>
      <c r="AC132" s="12"/>
      <c r="AD132" s="12"/>
      <c r="AE132" s="12"/>
      <c r="AF132" s="12"/>
      <c r="AG132" s="12"/>
      <c r="AH132" s="12"/>
      <c r="AI132" s="12"/>
    </row>
    <row r="133" spans="1:35" s="10" customFormat="1" x14ac:dyDescent="0.3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3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3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3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3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3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35">
      <c r="A139" s="12"/>
      <c r="B139" s="12"/>
      <c r="C139" s="12"/>
      <c r="D139"/>
      <c r="E139" s="21"/>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35">
      <c r="A140" s="12"/>
      <c r="B140" s="12"/>
      <c r="C140" s="12"/>
      <c r="D140"/>
      <c r="E140" s="24"/>
      <c r="F140" s="23"/>
      <c r="G140" s="23"/>
      <c r="H140" s="23"/>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35">
      <c r="A141" s="12"/>
      <c r="B141" s="12"/>
      <c r="C141" s="12"/>
      <c r="D141"/>
      <c r="E141" s="24"/>
      <c r="F141" s="23"/>
      <c r="G141" s="23"/>
      <c r="H141" s="23"/>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35">
      <c r="A142" s="12"/>
      <c r="B142" s="12"/>
      <c r="C142" s="12"/>
      <c r="D142"/>
      <c r="E142" s="24"/>
      <c r="F142" s="23"/>
      <c r="G142" s="23"/>
      <c r="H142" s="23"/>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35">
      <c r="A143" s="12"/>
      <c r="B143" s="12"/>
      <c r="C143" s="12"/>
      <c r="D143"/>
      <c r="E143" s="24"/>
      <c r="F143" s="23"/>
      <c r="G143" s="23"/>
      <c r="H143" s="23"/>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35">
      <c r="A144" s="12"/>
      <c r="B144" s="12"/>
      <c r="C144" s="12"/>
      <c r="D144"/>
      <c r="E144" s="24"/>
      <c r="F144" s="23"/>
      <c r="G144" s="23"/>
      <c r="H144" s="23"/>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35">
      <c r="A145" s="12"/>
      <c r="B145" s="12"/>
      <c r="C145" s="12"/>
      <c r="D145"/>
      <c r="E145" s="24"/>
      <c r="F145" s="23"/>
      <c r="G145" s="23"/>
      <c r="H145" s="23"/>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3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35">
      <c r="A147" s="12"/>
      <c r="B147" s="12"/>
      <c r="C147" s="12"/>
      <c r="D147"/>
      <c r="E147" s="24"/>
      <c r="F147" s="23"/>
      <c r="G147" s="23"/>
      <c r="H147" s="26"/>
      <c r="I147" s="22"/>
      <c r="J147" s="22"/>
      <c r="K147" s="22"/>
      <c r="L147" s="22"/>
      <c r="M147" s="21"/>
      <c r="N147" s="22"/>
      <c r="O147" s="22"/>
      <c r="P147" s="22"/>
      <c r="Q147" s="22"/>
      <c r="R147" s="28"/>
      <c r="S147" s="22"/>
      <c r="T147" s="21"/>
      <c r="U147"/>
      <c r="V147"/>
      <c r="W147"/>
      <c r="X147"/>
      <c r="Y147"/>
      <c r="Z147" s="12"/>
      <c r="AA147" s="12"/>
      <c r="AB147" s="12"/>
      <c r="AC147" s="12"/>
      <c r="AD147" s="12"/>
      <c r="AE147" s="12"/>
      <c r="AF147" s="12"/>
      <c r="AG147" s="12"/>
      <c r="AH147" s="12"/>
      <c r="AI147" s="12"/>
    </row>
    <row r="148" spans="1:35" s="10" customFormat="1" x14ac:dyDescent="0.35">
      <c r="A148" s="12"/>
      <c r="B148" s="12"/>
      <c r="C148" s="12"/>
      <c r="D148"/>
      <c r="E148" s="21"/>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35">
      <c r="A149" s="12"/>
      <c r="B149" s="12"/>
      <c r="C149" s="12"/>
      <c r="D149"/>
      <c r="E149" s="21"/>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35">
      <c r="A150" s="12"/>
      <c r="B150" s="12"/>
      <c r="C150" s="12"/>
      <c r="D150"/>
      <c r="E150" s="21"/>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35">
      <c r="A151" s="12"/>
      <c r="B151" s="12"/>
      <c r="C151" s="12"/>
      <c r="D151"/>
      <c r="E151" s="21"/>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35">
      <c r="A152" s="12"/>
      <c r="B152" s="12"/>
      <c r="C152" s="12"/>
      <c r="D152"/>
      <c r="E152" s="21"/>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35">
      <c r="A153" s="12"/>
      <c r="B153" s="12"/>
      <c r="C153" s="12"/>
      <c r="D153"/>
      <c r="E153" s="21"/>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35">
      <c r="A154" s="12"/>
      <c r="B154" s="12"/>
      <c r="C154" s="12"/>
      <c r="D154"/>
      <c r="E154" s="22"/>
      <c r="F154" s="22"/>
      <c r="G154" s="22"/>
      <c r="H154" s="22"/>
      <c r="I154" s="22"/>
      <c r="J154" s="22"/>
      <c r="K154" s="22"/>
      <c r="L154" s="22"/>
      <c r="M154" s="22"/>
      <c r="N154" s="22"/>
      <c r="O154" s="22"/>
      <c r="P154" s="22"/>
      <c r="Q154" s="22"/>
      <c r="R154" s="28"/>
      <c r="S154" s="22"/>
      <c r="T154" s="22"/>
      <c r="U154"/>
      <c r="V154"/>
      <c r="W154"/>
      <c r="X154"/>
      <c r="Y154"/>
      <c r="Z154" s="12"/>
      <c r="AA154" s="12"/>
      <c r="AB154" s="12"/>
      <c r="AC154" s="12"/>
      <c r="AD154" s="12"/>
      <c r="AE154" s="12"/>
      <c r="AF154" s="12"/>
      <c r="AG154" s="12"/>
      <c r="AH154" s="12"/>
      <c r="AI154" s="12"/>
    </row>
    <row r="155" spans="1:35" s="10" customFormat="1" x14ac:dyDescent="0.35">
      <c r="A155" s="12"/>
      <c r="B155" s="12"/>
      <c r="C155" s="12"/>
      <c r="D155"/>
      <c r="E155" s="21"/>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3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3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3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3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3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3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3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3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3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3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3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3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3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3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3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3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3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3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3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3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35">
      <c r="A176" s="12"/>
      <c r="B176" s="12"/>
      <c r="C176" s="12"/>
      <c r="D176"/>
      <c r="E176" s="24"/>
      <c r="F176" s="23"/>
      <c r="G176" s="23"/>
      <c r="H176" s="26"/>
      <c r="I176" s="22"/>
      <c r="J176" s="22"/>
      <c r="K176" s="22"/>
      <c r="L176" s="22"/>
      <c r="M176" s="21"/>
      <c r="N176" s="22"/>
      <c r="O176" s="22"/>
      <c r="P176" s="22"/>
      <c r="Q176" s="23"/>
      <c r="R176" s="23"/>
      <c r="S176" s="22"/>
      <c r="T176" s="21"/>
      <c r="U176"/>
      <c r="V176"/>
      <c r="W176"/>
      <c r="X176"/>
      <c r="Y176"/>
      <c r="Z176" s="12"/>
      <c r="AA176" s="12"/>
      <c r="AB176" s="12"/>
      <c r="AC176" s="12"/>
      <c r="AD176" s="12"/>
      <c r="AE176" s="12"/>
      <c r="AF176" s="12"/>
      <c r="AG176" s="12"/>
      <c r="AH176" s="12"/>
      <c r="AI176" s="12"/>
    </row>
    <row r="177" spans="1:35" s="10" customFormat="1" x14ac:dyDescent="0.35">
      <c r="A177" s="12"/>
      <c r="B177" s="12"/>
      <c r="C177" s="12"/>
      <c r="D177"/>
      <c r="E177" s="24"/>
      <c r="F177" s="23"/>
      <c r="G177" s="23"/>
      <c r="H177" s="26"/>
      <c r="I177" s="22"/>
      <c r="J177" s="22"/>
      <c r="K177" s="22"/>
      <c r="L177" s="22"/>
      <c r="M177" s="21"/>
      <c r="N177" s="22"/>
      <c r="O177" s="22"/>
      <c r="P177" s="22"/>
      <c r="Q177" s="23"/>
      <c r="R177" s="23"/>
      <c r="S177" s="22"/>
      <c r="T177" s="21"/>
      <c r="U177"/>
      <c r="V177"/>
      <c r="W177"/>
      <c r="X177"/>
      <c r="Y177"/>
      <c r="Z177" s="12"/>
      <c r="AA177" s="12"/>
      <c r="AB177" s="12"/>
      <c r="AC177" s="12"/>
      <c r="AD177" s="12"/>
      <c r="AE177" s="12"/>
      <c r="AF177" s="12"/>
      <c r="AG177" s="12"/>
      <c r="AH177" s="12"/>
      <c r="AI177" s="12"/>
    </row>
    <row r="178" spans="1:35" s="10" customFormat="1" x14ac:dyDescent="0.35">
      <c r="A178" s="12"/>
      <c r="B178" s="12"/>
      <c r="C178" s="12"/>
      <c r="D178"/>
      <c r="E178" s="24"/>
      <c r="F178" s="23"/>
      <c r="G178" s="23"/>
      <c r="H178" s="26"/>
      <c r="I178" s="22"/>
      <c r="J178" s="22"/>
      <c r="K178" s="22"/>
      <c r="L178" s="22"/>
      <c r="M178" s="21"/>
      <c r="N178" s="22"/>
      <c r="O178" s="22"/>
      <c r="P178" s="22"/>
      <c r="Q178" s="23"/>
      <c r="R178" s="23"/>
      <c r="S178" s="22"/>
      <c r="T178" s="21"/>
      <c r="U178"/>
      <c r="V178"/>
      <c r="W178"/>
      <c r="X178"/>
      <c r="Y178"/>
      <c r="Z178" s="12"/>
      <c r="AA178" s="12"/>
      <c r="AB178" s="12"/>
      <c r="AC178" s="12"/>
      <c r="AD178" s="12"/>
      <c r="AE178" s="12"/>
      <c r="AF178" s="12"/>
      <c r="AG178" s="12"/>
      <c r="AH178" s="12"/>
      <c r="AI178" s="12"/>
    </row>
    <row r="179" spans="1:35" s="10" customFormat="1" x14ac:dyDescent="0.35">
      <c r="A179" s="12"/>
      <c r="B179" s="12"/>
      <c r="C179" s="12"/>
      <c r="D179"/>
      <c r="E179" s="24"/>
      <c r="F179" s="23"/>
      <c r="G179" s="23"/>
      <c r="H179" s="26"/>
      <c r="I179" s="22"/>
      <c r="J179" s="22"/>
      <c r="K179" s="22"/>
      <c r="L179" s="22"/>
      <c r="M179" s="21"/>
      <c r="N179" s="22"/>
      <c r="O179" s="22"/>
      <c r="P179" s="22"/>
      <c r="Q179" s="23"/>
      <c r="R179" s="23"/>
      <c r="S179" s="22"/>
      <c r="T179" s="21"/>
      <c r="U179"/>
      <c r="V179"/>
      <c r="W179"/>
      <c r="X179"/>
      <c r="Y179"/>
      <c r="Z179" s="12"/>
      <c r="AA179" s="12"/>
      <c r="AB179" s="12"/>
      <c r="AC179" s="12"/>
      <c r="AD179" s="12"/>
      <c r="AE179" s="12"/>
      <c r="AF179" s="12"/>
      <c r="AG179" s="12"/>
      <c r="AH179" s="12"/>
      <c r="AI179" s="12"/>
    </row>
    <row r="180" spans="1:35" s="10" customFormat="1" x14ac:dyDescent="0.35">
      <c r="A180" s="12"/>
      <c r="B180" s="12"/>
      <c r="C180" s="12"/>
      <c r="D180"/>
      <c r="E180" s="24"/>
      <c r="F180" s="23"/>
      <c r="G180" s="23"/>
      <c r="H180" s="26"/>
      <c r="I180" s="22"/>
      <c r="J180" s="22"/>
      <c r="K180" s="22"/>
      <c r="L180" s="22"/>
      <c r="M180" s="21"/>
      <c r="N180" s="22"/>
      <c r="O180" s="22"/>
      <c r="P180" s="22"/>
      <c r="Q180" s="23"/>
      <c r="R180" s="23"/>
      <c r="S180" s="22"/>
      <c r="T180" s="21"/>
      <c r="U180"/>
      <c r="V180"/>
      <c r="W180"/>
      <c r="X180"/>
      <c r="Y180"/>
      <c r="Z180" s="12"/>
      <c r="AA180" s="12"/>
      <c r="AB180" s="12"/>
      <c r="AC180" s="12"/>
      <c r="AD180" s="12"/>
      <c r="AE180" s="12"/>
      <c r="AF180" s="12"/>
      <c r="AG180" s="12"/>
      <c r="AH180" s="12"/>
      <c r="AI180" s="12"/>
    </row>
    <row r="181" spans="1:35" s="10" customFormat="1" x14ac:dyDescent="0.35">
      <c r="A181" s="12"/>
      <c r="B181" s="12"/>
      <c r="C181" s="12"/>
      <c r="D181"/>
      <c r="E181" s="24"/>
      <c r="F181" s="23"/>
      <c r="G181" s="23"/>
      <c r="H181" s="26"/>
      <c r="I181" s="22"/>
      <c r="J181" s="22"/>
      <c r="K181" s="22"/>
      <c r="L181" s="22"/>
      <c r="M181" s="21"/>
      <c r="N181" s="22"/>
      <c r="O181" s="22"/>
      <c r="P181" s="22"/>
      <c r="Q181" s="23"/>
      <c r="R181" s="23"/>
      <c r="S181" s="22"/>
      <c r="T181" s="21"/>
      <c r="U181"/>
      <c r="V181"/>
      <c r="W181"/>
      <c r="X181"/>
      <c r="Y181"/>
      <c r="Z181" s="12"/>
      <c r="AA181" s="12"/>
      <c r="AB181" s="12"/>
      <c r="AC181" s="12"/>
      <c r="AD181" s="12"/>
      <c r="AE181" s="12"/>
      <c r="AF181" s="12"/>
      <c r="AG181" s="12"/>
      <c r="AH181" s="12"/>
      <c r="AI181" s="12"/>
    </row>
    <row r="182" spans="1:35" s="10" customFormat="1" x14ac:dyDescent="0.35">
      <c r="A182" s="12"/>
      <c r="B182" s="12"/>
      <c r="C182" s="12"/>
      <c r="D182"/>
      <c r="E182" s="24"/>
      <c r="F182" s="23"/>
      <c r="G182" s="23"/>
      <c r="H182" s="26"/>
      <c r="I182" s="22"/>
      <c r="J182" s="22"/>
      <c r="K182" s="22"/>
      <c r="L182" s="22"/>
      <c r="M182" s="21"/>
      <c r="N182" s="22"/>
      <c r="O182" s="22"/>
      <c r="P182" s="22"/>
      <c r="Q182" s="23"/>
      <c r="R182" s="23"/>
      <c r="S182" s="22"/>
      <c r="T182" s="21"/>
      <c r="U182"/>
      <c r="V182"/>
      <c r="W182"/>
      <c r="X182"/>
      <c r="Y182"/>
      <c r="Z182" s="12"/>
      <c r="AA182" s="12"/>
      <c r="AB182" s="12"/>
      <c r="AC182" s="12"/>
      <c r="AD182" s="12"/>
      <c r="AE182" s="12"/>
      <c r="AF182" s="12"/>
      <c r="AG182" s="12"/>
      <c r="AH182" s="12"/>
      <c r="AI182" s="12"/>
    </row>
    <row r="183" spans="1:35" s="10" customFormat="1" x14ac:dyDescent="0.35">
      <c r="A183" s="12"/>
      <c r="B183" s="12"/>
      <c r="C183" s="12"/>
      <c r="D183"/>
      <c r="E183" s="24"/>
      <c r="F183" s="23"/>
      <c r="G183" s="23"/>
      <c r="H183" s="26"/>
      <c r="I183" s="22"/>
      <c r="J183" s="22"/>
      <c r="K183" s="22"/>
      <c r="L183" s="22"/>
      <c r="M183" s="21"/>
      <c r="N183" s="22"/>
      <c r="O183" s="22"/>
      <c r="P183" s="22"/>
      <c r="Q183" s="23"/>
      <c r="R183" s="23"/>
      <c r="S183" s="22"/>
      <c r="T183" s="21"/>
      <c r="U183"/>
      <c r="V183"/>
      <c r="W183"/>
      <c r="X183"/>
      <c r="Y183"/>
      <c r="Z183" s="12"/>
      <c r="AA183" s="12"/>
      <c r="AB183" s="12"/>
      <c r="AC183" s="12"/>
      <c r="AD183" s="12"/>
      <c r="AE183" s="12"/>
      <c r="AF183" s="12"/>
      <c r="AG183" s="12"/>
      <c r="AH183" s="12"/>
      <c r="AI183" s="12"/>
    </row>
    <row r="184" spans="1:35" s="10" customFormat="1" x14ac:dyDescent="0.35">
      <c r="A184" s="12"/>
      <c r="B184" s="12"/>
      <c r="C184" s="12"/>
      <c r="D184"/>
      <c r="E184" s="24"/>
      <c r="F184" s="23"/>
      <c r="G184" s="23"/>
      <c r="H184" s="26"/>
      <c r="I184" s="22"/>
      <c r="J184" s="22"/>
      <c r="K184" s="22"/>
      <c r="L184" s="22"/>
      <c r="M184" s="21"/>
      <c r="N184" s="22"/>
      <c r="O184" s="22"/>
      <c r="P184" s="22"/>
      <c r="Q184" s="23"/>
      <c r="R184" s="23"/>
      <c r="S184" s="22"/>
      <c r="T184" s="21"/>
      <c r="U184"/>
      <c r="V184"/>
      <c r="W184"/>
      <c r="X184"/>
      <c r="Y184" s="12"/>
      <c r="Z184" s="12"/>
      <c r="AA184" s="12"/>
      <c r="AB184" s="12"/>
      <c r="AC184" s="12"/>
      <c r="AD184" s="12"/>
      <c r="AE184" s="12"/>
      <c r="AF184" s="12"/>
      <c r="AG184" s="12"/>
      <c r="AH184" s="12"/>
      <c r="AI184" s="12"/>
    </row>
    <row r="185" spans="1:35" s="10" customFormat="1" x14ac:dyDescent="0.35">
      <c r="A185" s="12"/>
      <c r="B185" s="12"/>
      <c r="C185" s="12"/>
      <c r="D185"/>
      <c r="E185" s="24"/>
      <c r="F185" s="23"/>
      <c r="G185" s="23"/>
      <c r="H185" s="26"/>
      <c r="I185" s="22"/>
      <c r="J185" s="22"/>
      <c r="K185" s="22"/>
      <c r="L185" s="22"/>
      <c r="M185" s="21"/>
      <c r="N185" s="22"/>
      <c r="O185" s="22"/>
      <c r="P185" s="22"/>
      <c r="Q185" s="23"/>
      <c r="R185" s="23"/>
      <c r="S185" s="22"/>
      <c r="T185" s="21"/>
      <c r="U185"/>
      <c r="V185"/>
      <c r="W185"/>
      <c r="X185"/>
      <c r="Y185" s="12"/>
      <c r="Z185" s="12"/>
      <c r="AA185" s="12"/>
      <c r="AB185" s="12"/>
      <c r="AC185" s="12"/>
      <c r="AD185" s="12"/>
      <c r="AE185" s="12"/>
      <c r="AF185" s="12"/>
      <c r="AG185" s="12"/>
      <c r="AH185" s="12"/>
      <c r="AI185" s="12"/>
    </row>
    <row r="186" spans="1:35" s="10" customFormat="1" x14ac:dyDescent="0.35">
      <c r="A186" s="12"/>
      <c r="B186" s="12"/>
      <c r="C186" s="12"/>
      <c r="D186"/>
      <c r="E186" s="24"/>
      <c r="F186" s="23"/>
      <c r="G186" s="23"/>
      <c r="H186" s="26"/>
      <c r="I186" s="22"/>
      <c r="J186" s="22"/>
      <c r="K186" s="22"/>
      <c r="L186" s="22"/>
      <c r="M186" s="21"/>
      <c r="N186" s="22"/>
      <c r="O186" s="22"/>
      <c r="P186" s="22"/>
      <c r="Q186" s="23"/>
      <c r="R186" s="23"/>
      <c r="S186" s="22"/>
      <c r="T186" s="21"/>
      <c r="U186"/>
      <c r="V186"/>
      <c r="W186"/>
      <c r="X186"/>
      <c r="Y186" s="12"/>
      <c r="Z186" s="12"/>
      <c r="AA186" s="12"/>
      <c r="AB186" s="12"/>
      <c r="AC186" s="12"/>
      <c r="AD186" s="12"/>
      <c r="AE186" s="12"/>
      <c r="AF186" s="12"/>
      <c r="AG186" s="12"/>
      <c r="AH186" s="12"/>
      <c r="AI186" s="12"/>
    </row>
    <row r="187" spans="1:35" s="10" customFormat="1" x14ac:dyDescent="0.35">
      <c r="A187" s="12"/>
      <c r="B187" s="12"/>
      <c r="C187" s="12"/>
      <c r="D187"/>
      <c r="E187" s="24"/>
      <c r="F187" s="23"/>
      <c r="G187" s="23"/>
      <c r="H187" s="26"/>
      <c r="I187" s="22"/>
      <c r="J187" s="22"/>
      <c r="K187" s="22"/>
      <c r="L187" s="22"/>
      <c r="M187" s="21"/>
      <c r="N187" s="22"/>
      <c r="O187" s="22"/>
      <c r="P187" s="22"/>
      <c r="Q187" s="23"/>
      <c r="R187" s="23"/>
      <c r="S187" s="22"/>
      <c r="T187" s="21"/>
      <c r="U187"/>
      <c r="V187"/>
      <c r="W187"/>
      <c r="X187"/>
      <c r="Y187" s="12"/>
      <c r="Z187" s="12"/>
      <c r="AA187" s="12"/>
      <c r="AB187" s="12"/>
      <c r="AC187" s="12"/>
      <c r="AD187" s="12"/>
      <c r="AE187" s="12"/>
      <c r="AF187" s="12"/>
      <c r="AG187" s="12"/>
      <c r="AH187" s="12"/>
      <c r="AI187" s="12"/>
    </row>
    <row r="188" spans="1:35" s="10" customFormat="1" x14ac:dyDescent="0.35">
      <c r="A188" s="12"/>
      <c r="B188" s="12"/>
      <c r="C188" s="12"/>
      <c r="D188"/>
      <c r="E188" s="24"/>
      <c r="F188" s="23"/>
      <c r="G188" s="22"/>
      <c r="H188" s="25"/>
      <c r="I188" s="22"/>
      <c r="J188" s="22"/>
      <c r="K188" s="22"/>
      <c r="L188" s="22"/>
      <c r="M188" s="24"/>
      <c r="N188" s="22"/>
      <c r="O188" s="22"/>
      <c r="P188" s="22"/>
      <c r="Q188" s="22"/>
      <c r="R188" s="22"/>
      <c r="S188" s="22"/>
      <c r="T188" s="19"/>
      <c r="U188"/>
      <c r="V188"/>
      <c r="W188"/>
      <c r="X188"/>
      <c r="Y188" s="12"/>
      <c r="Z188" s="12"/>
      <c r="AA188" s="12"/>
      <c r="AB188" s="12"/>
      <c r="AC188" s="12"/>
      <c r="AD188" s="12"/>
      <c r="AE188" s="12"/>
      <c r="AF188" s="12"/>
      <c r="AG188" s="12"/>
      <c r="AH188" s="12"/>
      <c r="AI188" s="12"/>
    </row>
    <row r="189" spans="1:35" s="10" customFormat="1" x14ac:dyDescent="0.3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3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3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3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35">
      <c r="A193" s="12"/>
      <c r="B193" s="12"/>
      <c r="C193" s="12"/>
      <c r="D193"/>
      <c r="E193"/>
      <c r="F193"/>
      <c r="G193"/>
      <c r="H193"/>
      <c r="I193"/>
      <c r="J193"/>
      <c r="K193"/>
      <c r="L193"/>
      <c r="M193"/>
      <c r="N193"/>
      <c r="O193"/>
      <c r="P193"/>
      <c r="Q193"/>
      <c r="R193"/>
      <c r="S193"/>
      <c r="T193"/>
      <c r="U193"/>
      <c r="V193"/>
      <c r="W193"/>
      <c r="X193"/>
      <c r="Y193" s="12"/>
      <c r="Z193" s="12"/>
      <c r="AA193" s="12"/>
      <c r="AB193" s="12"/>
      <c r="AC193" s="12"/>
      <c r="AD193" s="12"/>
      <c r="AE193" s="12"/>
      <c r="AF193" s="12"/>
      <c r="AG193" s="12"/>
      <c r="AH193" s="12"/>
      <c r="AI193" s="12"/>
    </row>
    <row r="194" spans="1:35" s="10" customFormat="1" x14ac:dyDescent="0.35">
      <c r="A194" s="12"/>
      <c r="B194" s="12"/>
      <c r="C194" s="12"/>
      <c r="D194"/>
      <c r="E194"/>
      <c r="F194"/>
      <c r="G194"/>
      <c r="H194"/>
      <c r="I194"/>
      <c r="J194"/>
      <c r="K194"/>
      <c r="L194"/>
      <c r="M194"/>
      <c r="N194"/>
      <c r="O194"/>
      <c r="P194"/>
      <c r="Q194"/>
      <c r="R194"/>
      <c r="S194"/>
      <c r="T194"/>
      <c r="U194"/>
      <c r="V194"/>
      <c r="W194"/>
      <c r="X194"/>
      <c r="Y194" s="12"/>
      <c r="Z194" s="12"/>
      <c r="AA194" s="12"/>
      <c r="AB194" s="12"/>
      <c r="AC194" s="12"/>
      <c r="AD194" s="12"/>
      <c r="AE194" s="12"/>
      <c r="AF194" s="12"/>
      <c r="AG194" s="12"/>
      <c r="AH194" s="12"/>
      <c r="AI194" s="12"/>
    </row>
    <row r="195" spans="1:35" s="10" customFormat="1" x14ac:dyDescent="0.35">
      <c r="A195" s="12"/>
      <c r="B195" s="12"/>
      <c r="C195" s="12"/>
      <c r="D195"/>
      <c r="E195"/>
      <c r="F195"/>
      <c r="G195"/>
      <c r="H195"/>
      <c r="I195"/>
      <c r="J195"/>
      <c r="K195"/>
      <c r="L195"/>
      <c r="M195"/>
      <c r="N195"/>
      <c r="O195"/>
      <c r="P195"/>
      <c r="Q195"/>
      <c r="R195"/>
      <c r="S195"/>
      <c r="T195"/>
      <c r="U195"/>
      <c r="V195"/>
      <c r="W195"/>
      <c r="X195"/>
      <c r="Y195" s="12"/>
      <c r="Z195" s="12"/>
      <c r="AA195" s="12"/>
      <c r="AB195" s="12"/>
      <c r="AC195" s="12"/>
      <c r="AD195" s="12"/>
      <c r="AE195" s="12"/>
      <c r="AF195" s="12"/>
      <c r="AG195" s="12"/>
      <c r="AH195" s="12"/>
      <c r="AI195" s="12"/>
    </row>
    <row r="196" spans="1:35" s="10" customFormat="1" x14ac:dyDescent="0.35">
      <c r="A196" s="12"/>
      <c r="B196" s="12"/>
      <c r="C196" s="12"/>
      <c r="D196"/>
      <c r="E196"/>
      <c r="F196"/>
      <c r="G196"/>
      <c r="H196"/>
      <c r="I196"/>
      <c r="J196"/>
      <c r="K196"/>
      <c r="L196"/>
      <c r="M196"/>
      <c r="N196"/>
      <c r="O196"/>
      <c r="P196"/>
      <c r="Q196"/>
      <c r="R196"/>
      <c r="S196"/>
      <c r="T196"/>
      <c r="U196"/>
      <c r="V196"/>
      <c r="W196"/>
      <c r="X196"/>
      <c r="Y196" s="12"/>
      <c r="Z196" s="12"/>
      <c r="AA196" s="12"/>
      <c r="AB196" s="12"/>
      <c r="AC196" s="12"/>
      <c r="AD196" s="12"/>
      <c r="AE196" s="12"/>
      <c r="AF196" s="12"/>
      <c r="AG196" s="12"/>
      <c r="AH196" s="12"/>
      <c r="AI196" s="12"/>
    </row>
    <row r="197" spans="1:35" s="10" customFormat="1" x14ac:dyDescent="0.35">
      <c r="A197" s="12"/>
      <c r="B197" s="12"/>
      <c r="C197" s="12"/>
      <c r="D197"/>
      <c r="E197"/>
      <c r="F197"/>
      <c r="G197"/>
      <c r="H197"/>
      <c r="I197"/>
      <c r="J197"/>
      <c r="K197"/>
      <c r="L197"/>
      <c r="M197"/>
      <c r="N197"/>
      <c r="O197"/>
      <c r="P197"/>
      <c r="Q197"/>
      <c r="R197"/>
      <c r="S197"/>
      <c r="T197"/>
      <c r="U197"/>
      <c r="V197"/>
      <c r="W197"/>
      <c r="X197"/>
      <c r="Y197" s="12"/>
      <c r="Z197" s="12"/>
      <c r="AA197" s="12"/>
      <c r="AB197" s="12"/>
      <c r="AC197" s="12"/>
      <c r="AD197" s="12"/>
      <c r="AE197" s="12"/>
      <c r="AF197" s="12"/>
      <c r="AG197" s="12"/>
      <c r="AH197" s="12"/>
      <c r="AI197" s="12"/>
    </row>
    <row r="198" spans="1:35" s="10" customFormat="1" x14ac:dyDescent="0.35">
      <c r="A198" s="12"/>
      <c r="B198" s="12"/>
      <c r="C198" s="12"/>
      <c r="D198"/>
      <c r="E198"/>
      <c r="F198"/>
      <c r="G198"/>
      <c r="H198"/>
      <c r="I198"/>
      <c r="J198"/>
      <c r="K198"/>
      <c r="L198"/>
      <c r="M198"/>
      <c r="N198"/>
      <c r="O198"/>
      <c r="P198"/>
      <c r="Q198"/>
      <c r="R198"/>
      <c r="S198"/>
      <c r="T198"/>
      <c r="U198"/>
      <c r="V198"/>
      <c r="W198"/>
      <c r="X198"/>
      <c r="Y198" s="12"/>
      <c r="Z198" s="12"/>
      <c r="AA198" s="12"/>
      <c r="AB198" s="12"/>
      <c r="AC198" s="12"/>
      <c r="AD198" s="12"/>
      <c r="AE198" s="12"/>
      <c r="AF198" s="12"/>
      <c r="AG198" s="12"/>
      <c r="AH198" s="12"/>
      <c r="AI198" s="12"/>
    </row>
    <row r="199" spans="1:35" s="10" customFormat="1" x14ac:dyDescent="0.35">
      <c r="A199" s="12"/>
      <c r="B199" s="12"/>
      <c r="C199" s="12"/>
      <c r="D199"/>
      <c r="E199"/>
      <c r="F199"/>
      <c r="G199"/>
      <c r="H199"/>
      <c r="I199"/>
      <c r="J199"/>
      <c r="K199"/>
      <c r="L199"/>
      <c r="M199"/>
      <c r="N199"/>
      <c r="O199"/>
      <c r="P199"/>
      <c r="Q199"/>
      <c r="R199"/>
      <c r="S199"/>
      <c r="T199"/>
      <c r="U199"/>
      <c r="V199"/>
      <c r="W199"/>
      <c r="X199"/>
      <c r="Y199" s="12"/>
      <c r="Z199" s="12"/>
      <c r="AA199" s="12"/>
      <c r="AB199" s="12"/>
      <c r="AC199" s="12"/>
      <c r="AD199" s="12"/>
      <c r="AE199" s="12"/>
      <c r="AF199" s="12"/>
      <c r="AG199" s="12"/>
      <c r="AH199" s="12"/>
      <c r="AI199" s="12"/>
    </row>
    <row r="200" spans="1:35" s="10" customFormat="1" x14ac:dyDescent="0.35">
      <c r="A200" s="12"/>
      <c r="B200" s="12"/>
      <c r="C200" s="12"/>
      <c r="D200"/>
      <c r="E200"/>
      <c r="F200"/>
      <c r="G200"/>
      <c r="H200"/>
      <c r="I200"/>
      <c r="J200"/>
      <c r="K200"/>
      <c r="L200"/>
      <c r="M200"/>
      <c r="N200"/>
      <c r="O200"/>
      <c r="P200"/>
      <c r="Q200"/>
      <c r="R200"/>
      <c r="S200"/>
      <c r="T200"/>
      <c r="U200"/>
      <c r="V200"/>
      <c r="W200"/>
      <c r="X200"/>
      <c r="Y200" s="12"/>
      <c r="Z200" s="12"/>
      <c r="AA200" s="12"/>
      <c r="AB200" s="12"/>
      <c r="AC200" s="12"/>
      <c r="AD200" s="12"/>
      <c r="AE200" s="12"/>
      <c r="AF200" s="12"/>
      <c r="AG200" s="12"/>
      <c r="AH200" s="12"/>
      <c r="AI200" s="12"/>
    </row>
    <row r="201" spans="1:35" s="10" customFormat="1" x14ac:dyDescent="0.35">
      <c r="A201" s="12"/>
      <c r="B201" s="12"/>
      <c r="C201" s="12"/>
      <c r="D201"/>
      <c r="E201" s="24"/>
      <c r="F201" s="23"/>
      <c r="G201" s="22"/>
      <c r="H201" s="22"/>
      <c r="I201" s="22"/>
      <c r="J201" s="22"/>
      <c r="K201" s="22"/>
      <c r="L201" s="22"/>
      <c r="M201" s="21"/>
      <c r="N201" s="22"/>
      <c r="O201" s="22"/>
      <c r="P201" s="22"/>
      <c r="Q201" s="22"/>
      <c r="R201" s="22"/>
      <c r="S201" s="22"/>
      <c r="T201" s="19"/>
      <c r="U201"/>
      <c r="V201"/>
      <c r="W201"/>
      <c r="X201"/>
      <c r="Y201"/>
      <c r="Z201" s="12"/>
      <c r="AA201" s="12"/>
      <c r="AB201" s="12"/>
      <c r="AC201" s="12"/>
      <c r="AD201" s="12"/>
      <c r="AE201" s="12"/>
      <c r="AF201" s="12"/>
      <c r="AG201" s="12"/>
      <c r="AH201" s="12"/>
      <c r="AI201" s="12"/>
    </row>
    <row r="202" spans="1:35" s="10" customFormat="1" x14ac:dyDescent="0.35">
      <c r="A202" s="12"/>
      <c r="B202" s="12"/>
      <c r="C202" s="12"/>
      <c r="D202"/>
      <c r="E202" s="24"/>
      <c r="F202" s="23"/>
      <c r="G202" s="23"/>
      <c r="H202" s="26"/>
      <c r="I202" s="22"/>
      <c r="J202" s="22"/>
      <c r="K202" s="22"/>
      <c r="L202" s="22"/>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35">
      <c r="A203" s="12"/>
      <c r="B203" s="12"/>
      <c r="C203" s="12"/>
      <c r="D203"/>
      <c r="E203" s="19"/>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35">
      <c r="A204" s="12"/>
      <c r="B204" s="12"/>
      <c r="C204" s="12"/>
      <c r="D204"/>
      <c r="E204" s="19"/>
      <c r="F204" s="23"/>
      <c r="G204" s="22"/>
      <c r="H204" s="22"/>
      <c r="I204" s="22"/>
      <c r="J204" s="22"/>
      <c r="K204" s="22"/>
      <c r="L204" s="23"/>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35">
      <c r="A205" s="12"/>
      <c r="B205" s="12"/>
      <c r="C205" s="12"/>
      <c r="D205"/>
      <c r="E205" s="19"/>
      <c r="F205" s="23"/>
      <c r="G205" s="22"/>
      <c r="H205" s="25"/>
      <c r="I205" s="22"/>
      <c r="J205" s="22"/>
      <c r="K205" s="22"/>
      <c r="L205" s="23"/>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35">
      <c r="A206" s="12"/>
      <c r="B206" s="12"/>
      <c r="C206" s="12"/>
      <c r="D206"/>
      <c r="E206" s="19"/>
      <c r="F206" s="23"/>
      <c r="G206" s="22"/>
      <c r="H206" s="22"/>
      <c r="I206" s="22"/>
      <c r="J206" s="22"/>
      <c r="K206" s="22"/>
      <c r="L206" s="23"/>
      <c r="M206" s="24"/>
      <c r="N206" s="22"/>
      <c r="O206" s="22"/>
      <c r="P206" s="22"/>
      <c r="Q206" s="22"/>
      <c r="R206" s="28"/>
      <c r="S206" s="22"/>
      <c r="T206" s="24"/>
      <c r="U206"/>
      <c r="V206"/>
      <c r="W206"/>
      <c r="X206"/>
      <c r="Y206"/>
      <c r="Z206" s="12"/>
      <c r="AA206" s="12"/>
      <c r="AB206" s="12"/>
      <c r="AC206" s="12"/>
      <c r="AD206" s="12"/>
      <c r="AE206" s="12"/>
      <c r="AF206" s="12"/>
      <c r="AG206" s="12"/>
      <c r="AH206" s="12"/>
      <c r="AI206" s="12"/>
    </row>
    <row r="207" spans="1:35" s="10" customFormat="1" x14ac:dyDescent="0.35">
      <c r="A207" s="12"/>
      <c r="B207" s="12"/>
      <c r="C207" s="12"/>
      <c r="D207"/>
      <c r="E207" s="19"/>
      <c r="F207" s="23"/>
      <c r="G207" s="22"/>
      <c r="H207" s="22"/>
      <c r="I207" s="22"/>
      <c r="J207" s="22"/>
      <c r="K207" s="22"/>
      <c r="L207" s="23"/>
      <c r="M207" s="24"/>
      <c r="N207" s="22"/>
      <c r="O207" s="22"/>
      <c r="P207" s="22"/>
      <c r="Q207" s="22"/>
      <c r="R207" s="28"/>
      <c r="S207" s="22"/>
      <c r="T207" s="24"/>
      <c r="U207"/>
      <c r="V207"/>
      <c r="W207"/>
      <c r="X207"/>
      <c r="Y207"/>
      <c r="Z207" s="12"/>
      <c r="AA207" s="12"/>
      <c r="AB207" s="12"/>
      <c r="AC207" s="12"/>
      <c r="AD207" s="12"/>
      <c r="AE207" s="12"/>
      <c r="AF207" s="12"/>
      <c r="AG207" s="12"/>
      <c r="AH207" s="12"/>
      <c r="AI207" s="12"/>
    </row>
    <row r="208" spans="1:35" s="10" customFormat="1" x14ac:dyDescent="0.35">
      <c r="A208" s="12"/>
      <c r="B208" s="12"/>
      <c r="C208" s="12"/>
      <c r="D208"/>
      <c r="E208" s="22"/>
      <c r="F208" s="23"/>
      <c r="G208" s="22"/>
      <c r="H208" s="22"/>
      <c r="I208" s="22"/>
      <c r="J208" s="22"/>
      <c r="K208" s="22"/>
      <c r="L208" s="23"/>
      <c r="M208" s="24"/>
      <c r="N208" s="22"/>
      <c r="O208" s="22"/>
      <c r="P208" s="22"/>
      <c r="Q208" s="22"/>
      <c r="R208" s="28"/>
      <c r="S208" s="22"/>
      <c r="T208" s="24"/>
      <c r="U208"/>
      <c r="V208"/>
      <c r="W208"/>
      <c r="X208"/>
      <c r="Y208"/>
      <c r="Z208" s="12"/>
      <c r="AA208" s="12"/>
      <c r="AB208" s="12"/>
      <c r="AC208" s="12"/>
      <c r="AD208" s="12"/>
      <c r="AE208" s="12"/>
      <c r="AF208" s="12"/>
      <c r="AG208" s="12"/>
      <c r="AH208" s="12"/>
      <c r="AI208" s="12"/>
    </row>
    <row r="209" spans="1:35" s="10" customFormat="1" x14ac:dyDescent="0.35">
      <c r="A209" s="12"/>
      <c r="B209" s="12"/>
      <c r="C209" s="12"/>
      <c r="D209"/>
      <c r="E209" s="22"/>
      <c r="F209" s="23"/>
      <c r="G209" s="22"/>
      <c r="H209" s="22"/>
      <c r="I209" s="22"/>
      <c r="J209" s="22"/>
      <c r="K209" s="22"/>
      <c r="L209" s="23"/>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35">
      <c r="A210" s="12"/>
      <c r="B210" s="12"/>
      <c r="C210" s="12"/>
      <c r="D210"/>
      <c r="E210" s="22"/>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35">
      <c r="A211" s="12"/>
      <c r="B211" s="12"/>
      <c r="C211" s="12"/>
      <c r="D211"/>
      <c r="E211" s="24"/>
      <c r="F211" s="23"/>
      <c r="G211" s="23"/>
      <c r="H211" s="23"/>
      <c r="I211" s="22"/>
      <c r="J211" s="22"/>
      <c r="K211" s="22"/>
      <c r="L211" s="22"/>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35">
      <c r="A212" s="12"/>
      <c r="B212" s="12"/>
      <c r="C212" s="12"/>
      <c r="D212"/>
      <c r="E212" s="24"/>
      <c r="F212" s="23"/>
      <c r="G212" s="23"/>
      <c r="H212" s="23"/>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35">
      <c r="A213" s="12"/>
      <c r="B213" s="12"/>
      <c r="C213" s="12"/>
      <c r="D213"/>
      <c r="E213" s="24"/>
      <c r="F213" s="23"/>
      <c r="G213" s="23"/>
      <c r="H213" s="23"/>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35">
      <c r="A214" s="12"/>
      <c r="B214" s="12"/>
      <c r="C214" s="12"/>
      <c r="D214"/>
      <c r="E214" s="24"/>
      <c r="F214" s="23"/>
      <c r="G214" s="23"/>
      <c r="H214" s="26"/>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35">
      <c r="A215" s="12"/>
      <c r="B215" s="12"/>
      <c r="C215" s="12"/>
      <c r="D215"/>
      <c r="E215" s="24"/>
      <c r="F215" s="23"/>
      <c r="G215" s="23"/>
      <c r="H215" s="26"/>
      <c r="I215" s="22"/>
      <c r="J215" s="22"/>
      <c r="K215" s="22"/>
      <c r="L215" s="22"/>
      <c r="M215" s="24"/>
      <c r="N215" s="22"/>
      <c r="O215" s="22"/>
      <c r="P215" s="22"/>
      <c r="Q215" s="23"/>
      <c r="R215" s="23"/>
      <c r="S215" s="22"/>
      <c r="T215" s="24"/>
      <c r="U215"/>
      <c r="V215"/>
      <c r="W215"/>
      <c r="X215"/>
      <c r="Y215"/>
      <c r="Z215" s="12"/>
      <c r="AA215" s="12"/>
      <c r="AB215" s="12"/>
      <c r="AC215" s="12"/>
      <c r="AD215" s="12"/>
      <c r="AE215" s="12"/>
      <c r="AF215" s="12"/>
      <c r="AG215" s="12"/>
      <c r="AH215" s="12"/>
      <c r="AI215" s="12"/>
    </row>
    <row r="216" spans="1:35" s="10" customFormat="1" x14ac:dyDescent="0.35">
      <c r="A216" s="12"/>
      <c r="B216" s="12"/>
      <c r="C216" s="12"/>
      <c r="D216"/>
      <c r="E216" s="24"/>
      <c r="F216" s="23"/>
      <c r="G216" s="23"/>
      <c r="H216" s="26"/>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35">
      <c r="A217" s="12"/>
      <c r="B217" s="12"/>
      <c r="C217" s="12"/>
      <c r="D217"/>
      <c r="E217" s="24"/>
      <c r="F217" s="23"/>
      <c r="G217" s="23"/>
      <c r="H217" s="26"/>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35">
      <c r="A218" s="12"/>
      <c r="B218" s="12"/>
      <c r="C218" s="12"/>
      <c r="D218"/>
      <c r="E218" s="24"/>
      <c r="F218" s="23"/>
      <c r="G218" s="23"/>
      <c r="H218" s="26"/>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35">
      <c r="A219" s="12"/>
      <c r="B219" s="12"/>
      <c r="C219" s="12"/>
      <c r="D219"/>
      <c r="E219" s="24"/>
      <c r="F219" s="23"/>
      <c r="G219" s="23"/>
      <c r="H219" s="26"/>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35">
      <c r="A220" s="12"/>
      <c r="B220" s="12"/>
      <c r="C220" s="12"/>
      <c r="D220"/>
      <c r="E220" s="24"/>
      <c r="F220" s="23"/>
      <c r="G220" s="23"/>
      <c r="H220" s="26"/>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35">
      <c r="A221" s="12"/>
      <c r="B221" s="12"/>
      <c r="C221" s="12"/>
      <c r="D221"/>
      <c r="E221" s="24"/>
      <c r="F221" s="23"/>
      <c r="G221" s="23"/>
      <c r="H221" s="26"/>
      <c r="I221" s="22"/>
      <c r="J221" s="22"/>
      <c r="K221" s="22"/>
      <c r="L221" s="22"/>
      <c r="M221" s="21"/>
      <c r="N221" s="22"/>
      <c r="O221" s="22"/>
      <c r="P221" s="22"/>
      <c r="Q221" s="22"/>
      <c r="R221" s="28"/>
      <c r="S221" s="22"/>
      <c r="T221" s="20"/>
      <c r="U221"/>
      <c r="V221"/>
      <c r="W221"/>
      <c r="X221"/>
      <c r="Y221"/>
      <c r="Z221" s="12"/>
      <c r="AA221" s="12"/>
      <c r="AB221" s="12"/>
      <c r="AC221" s="12"/>
      <c r="AD221" s="12"/>
      <c r="AE221" s="12"/>
      <c r="AF221" s="12"/>
      <c r="AG221" s="12"/>
      <c r="AH221" s="12"/>
      <c r="AI221" s="12"/>
    </row>
    <row r="222" spans="1:35" s="10" customFormat="1" x14ac:dyDescent="0.35">
      <c r="A222" s="12"/>
      <c r="B222" s="12"/>
      <c r="C222" s="12"/>
      <c r="D222"/>
      <c r="E222" s="24"/>
      <c r="F222" s="23"/>
      <c r="G222" s="22"/>
      <c r="H222" s="22"/>
      <c r="I222" s="22"/>
      <c r="J222" s="22"/>
      <c r="K222" s="22"/>
      <c r="L222" s="22"/>
      <c r="M222" s="21"/>
      <c r="N222" s="22"/>
      <c r="O222" s="22"/>
      <c r="P222" s="22"/>
      <c r="Q222" s="22"/>
      <c r="R222" s="22"/>
      <c r="S222" s="22"/>
      <c r="T222" s="19"/>
      <c r="U222"/>
      <c r="V222"/>
      <c r="W222"/>
      <c r="X222"/>
      <c r="Y222"/>
      <c r="Z222" s="12"/>
      <c r="AA222" s="12"/>
      <c r="AB222" s="12"/>
      <c r="AC222" s="12"/>
      <c r="AD222" s="12"/>
      <c r="AE222" s="12"/>
      <c r="AF222" s="12"/>
      <c r="AG222" s="12"/>
      <c r="AH222" s="12"/>
      <c r="AI222" s="12"/>
    </row>
    <row r="223" spans="1:35" s="10" customFormat="1" x14ac:dyDescent="0.35">
      <c r="A223" s="12"/>
      <c r="B223" s="12"/>
      <c r="C223" s="12"/>
      <c r="D223"/>
      <c r="E223" s="24"/>
      <c r="F223" s="23"/>
      <c r="G223" s="23"/>
      <c r="H223" s="26"/>
      <c r="I223" s="22"/>
      <c r="J223" s="22"/>
      <c r="K223" s="22"/>
      <c r="L223" s="22"/>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35">
      <c r="A224" s="12"/>
      <c r="B224" s="12"/>
      <c r="C224" s="12"/>
      <c r="D224"/>
      <c r="E224" s="19"/>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35">
      <c r="A225" s="12"/>
      <c r="B225" s="12"/>
      <c r="C225" s="12"/>
      <c r="D225"/>
      <c r="E225" s="19"/>
      <c r="F225" s="23"/>
      <c r="G225" s="22"/>
      <c r="H225" s="22"/>
      <c r="I225" s="22"/>
      <c r="J225" s="22"/>
      <c r="K225" s="22"/>
      <c r="L225" s="23"/>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35">
      <c r="A226" s="12"/>
      <c r="B226" s="12"/>
      <c r="C226" s="12"/>
      <c r="D226"/>
      <c r="E226" s="19"/>
      <c r="F226" s="23"/>
      <c r="G226" s="22"/>
      <c r="H226" s="25"/>
      <c r="I226" s="22"/>
      <c r="J226" s="22"/>
      <c r="K226" s="22"/>
      <c r="L226" s="23"/>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35">
      <c r="A227" s="12"/>
      <c r="B227" s="12"/>
      <c r="C227" s="12"/>
      <c r="D227"/>
      <c r="E227" s="19"/>
      <c r="F227" s="23"/>
      <c r="G227" s="22"/>
      <c r="H227" s="22"/>
      <c r="I227" s="22"/>
      <c r="J227" s="22"/>
      <c r="K227" s="22"/>
      <c r="L227" s="23"/>
      <c r="M227" s="24"/>
      <c r="N227" s="22"/>
      <c r="O227" s="22"/>
      <c r="P227" s="22"/>
      <c r="Q227" s="22"/>
      <c r="R227" s="28"/>
      <c r="S227" s="22"/>
      <c r="T227" s="24"/>
      <c r="U227"/>
      <c r="V227"/>
      <c r="W227"/>
      <c r="X227"/>
      <c r="Y227"/>
      <c r="Z227" s="12"/>
      <c r="AA227" s="12"/>
      <c r="AB227" s="12"/>
      <c r="AC227" s="12"/>
      <c r="AD227" s="12"/>
      <c r="AE227" s="12"/>
      <c r="AF227" s="12"/>
      <c r="AG227" s="12"/>
      <c r="AH227" s="12"/>
      <c r="AI227" s="12"/>
    </row>
    <row r="228" spans="1:35" s="10" customFormat="1" x14ac:dyDescent="0.35">
      <c r="A228" s="12"/>
      <c r="B228" s="12"/>
      <c r="C228" s="12"/>
      <c r="D228"/>
      <c r="E228" s="19"/>
      <c r="F228" s="23"/>
      <c r="G228" s="22"/>
      <c r="H228" s="22"/>
      <c r="I228" s="22"/>
      <c r="J228" s="22"/>
      <c r="K228" s="22"/>
      <c r="L228" s="23"/>
      <c r="M228" s="24"/>
      <c r="N228" s="22"/>
      <c r="O228" s="22"/>
      <c r="P228" s="22"/>
      <c r="Q228" s="22"/>
      <c r="R228" s="28"/>
      <c r="S228" s="22"/>
      <c r="T228" s="24"/>
      <c r="U228"/>
      <c r="V228"/>
      <c r="W228"/>
      <c r="X228"/>
      <c r="Y228"/>
      <c r="Z228" s="12"/>
      <c r="AA228" s="12"/>
      <c r="AB228" s="12"/>
      <c r="AC228" s="12"/>
      <c r="AD228" s="12"/>
      <c r="AE228" s="12"/>
      <c r="AF228" s="12"/>
      <c r="AG228" s="12"/>
      <c r="AH228" s="12"/>
      <c r="AI228" s="12"/>
    </row>
    <row r="229" spans="1:35" s="10" customFormat="1" x14ac:dyDescent="0.35">
      <c r="A229" s="12"/>
      <c r="B229" s="12"/>
      <c r="C229" s="12"/>
      <c r="D229"/>
      <c r="E229" s="22"/>
      <c r="F229" s="23"/>
      <c r="G229" s="22"/>
      <c r="H229" s="22"/>
      <c r="I229" s="22"/>
      <c r="J229" s="22"/>
      <c r="K229" s="22"/>
      <c r="L229" s="23"/>
      <c r="M229" s="24"/>
      <c r="N229" s="22"/>
      <c r="O229" s="22"/>
      <c r="P229" s="22"/>
      <c r="Q229" s="22"/>
      <c r="R229" s="28"/>
      <c r="S229" s="22"/>
      <c r="T229" s="24"/>
      <c r="U229"/>
      <c r="V229"/>
      <c r="W229"/>
      <c r="X229"/>
      <c r="Y229"/>
      <c r="Z229" s="12"/>
      <c r="AA229" s="12"/>
      <c r="AB229" s="12"/>
      <c r="AC229" s="12"/>
      <c r="AD229" s="12"/>
      <c r="AE229" s="12"/>
      <c r="AF229" s="12"/>
      <c r="AG229" s="12"/>
      <c r="AH229" s="12"/>
      <c r="AI229" s="12"/>
    </row>
    <row r="230" spans="1:35" s="10" customFormat="1" x14ac:dyDescent="0.35">
      <c r="A230" s="12"/>
      <c r="B230" s="12"/>
      <c r="C230" s="12"/>
      <c r="D230"/>
      <c r="E230" s="22"/>
      <c r="F230" s="23"/>
      <c r="G230" s="22"/>
      <c r="H230" s="22"/>
      <c r="I230" s="22"/>
      <c r="J230" s="22"/>
      <c r="K230" s="22"/>
      <c r="L230" s="23"/>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35">
      <c r="A231" s="12"/>
      <c r="B231" s="12"/>
      <c r="C231" s="12"/>
      <c r="D231"/>
      <c r="E231" s="22"/>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35">
      <c r="A232" s="12"/>
      <c r="B232" s="12"/>
      <c r="C232" s="12"/>
      <c r="D232"/>
      <c r="E232" s="24"/>
      <c r="F232" s="23"/>
      <c r="G232" s="23"/>
      <c r="H232" s="23"/>
      <c r="I232" s="22"/>
      <c r="J232" s="22"/>
      <c r="K232" s="22"/>
      <c r="L232" s="22"/>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35">
      <c r="A233" s="12"/>
      <c r="B233" s="12"/>
      <c r="C233" s="12"/>
      <c r="D233"/>
      <c r="E233" s="24"/>
      <c r="F233" s="23"/>
      <c r="G233" s="23"/>
      <c r="H233" s="23"/>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35">
      <c r="A234" s="12"/>
      <c r="B234" s="12"/>
      <c r="C234" s="12"/>
      <c r="D234"/>
      <c r="E234" s="24"/>
      <c r="F234" s="23"/>
      <c r="G234" s="23"/>
      <c r="H234" s="23"/>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35">
      <c r="A235" s="12"/>
      <c r="B235" s="12"/>
      <c r="C235" s="12"/>
      <c r="D235"/>
      <c r="E235" s="24"/>
      <c r="F235" s="23"/>
      <c r="G235" s="23"/>
      <c r="H235" s="26"/>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35">
      <c r="A236" s="12"/>
      <c r="B236" s="12"/>
      <c r="C236" s="12"/>
      <c r="D236"/>
      <c r="E236" s="24"/>
      <c r="F236" s="23"/>
      <c r="G236" s="23"/>
      <c r="H236" s="26"/>
      <c r="I236" s="22"/>
      <c r="J236" s="22"/>
      <c r="K236" s="22"/>
      <c r="L236" s="22"/>
      <c r="M236" s="24"/>
      <c r="N236" s="22"/>
      <c r="O236" s="22"/>
      <c r="P236" s="22"/>
      <c r="Q236" s="23"/>
      <c r="R236" s="23"/>
      <c r="S236" s="22"/>
      <c r="T236" s="24"/>
      <c r="U236"/>
      <c r="V236"/>
      <c r="W236"/>
      <c r="X236"/>
      <c r="Y236"/>
      <c r="Z236" s="12"/>
      <c r="AA236" s="12"/>
      <c r="AB236" s="12"/>
      <c r="AC236" s="12"/>
      <c r="AD236" s="12"/>
      <c r="AE236" s="12"/>
      <c r="AF236" s="12"/>
      <c r="AG236" s="12"/>
      <c r="AH236" s="12"/>
      <c r="AI236" s="12"/>
    </row>
    <row r="237" spans="1:35" s="10" customFormat="1" x14ac:dyDescent="0.35">
      <c r="A237" s="12"/>
      <c r="B237" s="12"/>
      <c r="C237" s="12"/>
      <c r="D237"/>
      <c r="E237" s="24"/>
      <c r="F237" s="23"/>
      <c r="G237" s="23"/>
      <c r="H237" s="26"/>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35">
      <c r="A238" s="12"/>
      <c r="B238" s="12"/>
      <c r="C238" s="12"/>
      <c r="D238"/>
      <c r="E238" s="24"/>
      <c r="F238" s="23"/>
      <c r="G238" s="23"/>
      <c r="H238" s="26"/>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35">
      <c r="A239" s="12"/>
      <c r="B239" s="12"/>
      <c r="C239" s="12"/>
      <c r="D239"/>
      <c r="E239" s="24"/>
      <c r="F239" s="23"/>
      <c r="G239" s="23"/>
      <c r="H239" s="26"/>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35">
      <c r="A240" s="12"/>
      <c r="B240" s="12"/>
      <c r="C240" s="12"/>
      <c r="D240"/>
      <c r="E240" s="24"/>
      <c r="F240" s="23"/>
      <c r="G240" s="23"/>
      <c r="H240" s="26"/>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35">
      <c r="A241" s="12"/>
      <c r="B241" s="12"/>
      <c r="C241" s="12"/>
      <c r="D241"/>
      <c r="E241" s="24"/>
      <c r="F241" s="23"/>
      <c r="G241" s="23"/>
      <c r="H241" s="26"/>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35">
      <c r="A242" s="12"/>
      <c r="B242" s="12"/>
      <c r="C242" s="12"/>
      <c r="D242"/>
      <c r="E242" s="24"/>
      <c r="F242" s="23"/>
      <c r="G242" s="23"/>
      <c r="H242" s="26"/>
      <c r="I242" s="22"/>
      <c r="J242" s="22"/>
      <c r="K242" s="22"/>
      <c r="L242" s="22"/>
      <c r="M242" s="21"/>
      <c r="N242" s="22"/>
      <c r="O242" s="22"/>
      <c r="P242" s="22"/>
      <c r="Q242" s="22"/>
      <c r="R242" s="28"/>
      <c r="S242" s="22"/>
      <c r="T242" s="20"/>
      <c r="U242"/>
      <c r="V242"/>
      <c r="W242"/>
      <c r="X242"/>
      <c r="Y242"/>
      <c r="Z242" s="12"/>
      <c r="AA242" s="12"/>
      <c r="AB242" s="12"/>
      <c r="AC242" s="12"/>
      <c r="AD242" s="12"/>
      <c r="AE242" s="12"/>
      <c r="AF242" s="12"/>
      <c r="AG242" s="12"/>
      <c r="AH242" s="12"/>
      <c r="AI242" s="12"/>
    </row>
    <row r="243" spans="1:35" s="10" customFormat="1" x14ac:dyDescent="0.35">
      <c r="A243" s="12"/>
      <c r="B243" s="12"/>
      <c r="C243" s="12"/>
      <c r="D243"/>
      <c r="E243" s="24"/>
      <c r="F243" s="23"/>
      <c r="G243" s="22"/>
      <c r="H243" s="22"/>
      <c r="I243" s="22"/>
      <c r="J243" s="22"/>
      <c r="K243" s="22"/>
      <c r="L243" s="22"/>
      <c r="M243" s="21"/>
      <c r="N243" s="22"/>
      <c r="O243" s="22"/>
      <c r="P243" s="22"/>
      <c r="Q243" s="22"/>
      <c r="R243" s="22"/>
      <c r="S243" s="22"/>
      <c r="T243" s="19"/>
      <c r="U243"/>
      <c r="V243"/>
      <c r="W243"/>
      <c r="X243"/>
      <c r="Y243"/>
      <c r="Z243" s="12"/>
      <c r="AA243" s="12"/>
      <c r="AB243" s="12"/>
      <c r="AC243" s="12"/>
      <c r="AD243" s="12"/>
      <c r="AE243" s="12"/>
      <c r="AF243" s="12"/>
      <c r="AG243" s="12"/>
      <c r="AH243" s="12"/>
      <c r="AI243" s="12"/>
    </row>
    <row r="244" spans="1:35" s="10" customFormat="1" x14ac:dyDescent="0.35">
      <c r="A244" s="12"/>
      <c r="B244" s="12"/>
      <c r="C244" s="12"/>
      <c r="D244"/>
      <c r="E244" s="24"/>
      <c r="F244" s="23"/>
      <c r="G244" s="23"/>
      <c r="H244" s="26"/>
      <c r="I244" s="22"/>
      <c r="J244" s="22"/>
      <c r="K244" s="22"/>
      <c r="L244" s="22"/>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35">
      <c r="A245" s="12"/>
      <c r="B245" s="12"/>
      <c r="C245" s="12"/>
      <c r="D245"/>
      <c r="E245" s="19"/>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35">
      <c r="A246" s="12"/>
      <c r="B246" s="12"/>
      <c r="C246" s="12"/>
      <c r="D246"/>
      <c r="E246" s="19"/>
      <c r="F246" s="23"/>
      <c r="G246" s="22"/>
      <c r="H246" s="22"/>
      <c r="I246" s="22"/>
      <c r="J246" s="22"/>
      <c r="K246" s="22"/>
      <c r="L246" s="23"/>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35">
      <c r="A247" s="12"/>
      <c r="B247" s="12"/>
      <c r="C247" s="12"/>
      <c r="D247"/>
      <c r="E247" s="19"/>
      <c r="F247" s="23"/>
      <c r="G247" s="22"/>
      <c r="H247" s="25"/>
      <c r="I247" s="22"/>
      <c r="J247" s="22"/>
      <c r="K247" s="22"/>
      <c r="L247" s="23"/>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35">
      <c r="A248" s="12"/>
      <c r="B248" s="12"/>
      <c r="C248" s="12"/>
      <c r="D248"/>
      <c r="E248" s="19"/>
      <c r="F248" s="23"/>
      <c r="G248" s="22"/>
      <c r="H248" s="22"/>
      <c r="I248" s="22"/>
      <c r="J248" s="22"/>
      <c r="K248" s="22"/>
      <c r="L248" s="23"/>
      <c r="M248" s="24"/>
      <c r="N248" s="22"/>
      <c r="O248" s="22"/>
      <c r="P248" s="22"/>
      <c r="Q248" s="22"/>
      <c r="R248" s="28"/>
      <c r="S248" s="22"/>
      <c r="T248" s="24"/>
      <c r="U248"/>
      <c r="V248"/>
      <c r="W248"/>
      <c r="X248"/>
      <c r="Y248"/>
      <c r="Z248" s="12"/>
      <c r="AA248" s="12"/>
      <c r="AB248" s="12"/>
      <c r="AC248" s="12"/>
      <c r="AD248" s="12"/>
      <c r="AE248" s="12"/>
      <c r="AF248" s="12"/>
      <c r="AG248" s="12"/>
      <c r="AH248" s="12"/>
      <c r="AI248" s="12"/>
    </row>
    <row r="249" spans="1:35" s="10" customFormat="1" x14ac:dyDescent="0.35">
      <c r="A249" s="12"/>
      <c r="B249" s="12"/>
      <c r="C249" s="12"/>
      <c r="D249"/>
      <c r="E249" s="19"/>
      <c r="F249" s="23"/>
      <c r="G249" s="22"/>
      <c r="H249" s="22"/>
      <c r="I249" s="22"/>
      <c r="J249" s="22"/>
      <c r="K249" s="22"/>
      <c r="L249" s="23"/>
      <c r="M249" s="24"/>
      <c r="N249" s="22"/>
      <c r="O249" s="22"/>
      <c r="P249" s="22"/>
      <c r="Q249" s="22"/>
      <c r="R249" s="28"/>
      <c r="S249" s="22"/>
      <c r="T249" s="24"/>
      <c r="U249"/>
      <c r="V249"/>
      <c r="W249"/>
      <c r="X249"/>
      <c r="Y249"/>
      <c r="Z249" s="12"/>
      <c r="AA249" s="12"/>
      <c r="AB249" s="12"/>
      <c r="AC249" s="12"/>
      <c r="AD249" s="12"/>
      <c r="AE249" s="12"/>
      <c r="AF249" s="12"/>
      <c r="AG249" s="12"/>
      <c r="AH249" s="12"/>
      <c r="AI249" s="12"/>
    </row>
    <row r="250" spans="1:35" s="10" customFormat="1" x14ac:dyDescent="0.35">
      <c r="A250" s="12"/>
      <c r="B250" s="12"/>
      <c r="C250" s="12"/>
      <c r="D250"/>
      <c r="E250" s="22"/>
      <c r="F250" s="23"/>
      <c r="G250" s="22"/>
      <c r="H250" s="22"/>
      <c r="I250" s="22"/>
      <c r="J250" s="22"/>
      <c r="K250" s="22"/>
      <c r="L250" s="23"/>
      <c r="M250" s="24"/>
      <c r="N250" s="22"/>
      <c r="O250" s="22"/>
      <c r="P250" s="22"/>
      <c r="Q250" s="22"/>
      <c r="R250" s="28"/>
      <c r="S250" s="22"/>
      <c r="T250" s="24"/>
      <c r="U250"/>
      <c r="V250"/>
      <c r="W250"/>
      <c r="X250"/>
      <c r="Y250"/>
      <c r="Z250" s="12"/>
      <c r="AA250" s="12"/>
      <c r="AB250" s="12"/>
      <c r="AC250" s="12"/>
      <c r="AD250" s="12"/>
      <c r="AE250" s="12"/>
      <c r="AF250" s="12"/>
      <c r="AG250" s="12"/>
      <c r="AH250" s="12"/>
      <c r="AI250" s="12"/>
    </row>
    <row r="251" spans="1:35" s="10" customFormat="1" x14ac:dyDescent="0.35">
      <c r="A251" s="12"/>
      <c r="B251" s="12"/>
      <c r="C251" s="12"/>
      <c r="D251"/>
      <c r="E251" s="22"/>
      <c r="F251" s="23"/>
      <c r="G251" s="22"/>
      <c r="H251" s="22"/>
      <c r="I251" s="22"/>
      <c r="J251" s="22"/>
      <c r="K251" s="22"/>
      <c r="L251" s="23"/>
      <c r="M251" s="24"/>
      <c r="N251" s="22"/>
      <c r="O251" s="22"/>
      <c r="P251" s="22"/>
      <c r="Q251" s="22"/>
      <c r="R251" s="28"/>
      <c r="S251" s="22"/>
      <c r="T251" s="24"/>
      <c r="U251"/>
      <c r="V251"/>
      <c r="W251"/>
      <c r="X251"/>
      <c r="Y251"/>
      <c r="Z251" s="12"/>
      <c r="AA251" s="12"/>
      <c r="AB251" s="12"/>
      <c r="AC251" s="12"/>
      <c r="AD251" s="12"/>
      <c r="AE251" s="12"/>
      <c r="AF251" s="12"/>
      <c r="AG251" s="12"/>
      <c r="AH251" s="12"/>
      <c r="AI251" s="12"/>
    </row>
    <row r="252" spans="1:35" s="10" customFormat="1" x14ac:dyDescent="0.35">
      <c r="A252" s="12"/>
      <c r="B252" s="12"/>
      <c r="C252" s="12"/>
      <c r="D252"/>
      <c r="E252" s="22"/>
      <c r="F252" s="23"/>
      <c r="G252" s="22"/>
      <c r="H252" s="22"/>
      <c r="I252" s="22"/>
      <c r="J252" s="22"/>
      <c r="K252" s="22"/>
      <c r="L252" s="23"/>
      <c r="M252" s="24"/>
      <c r="N252" s="22"/>
      <c r="O252" s="22"/>
      <c r="P252" s="22"/>
      <c r="Q252" s="22"/>
      <c r="R252" s="28"/>
      <c r="S252" s="22"/>
      <c r="T252" s="24"/>
      <c r="U252"/>
      <c r="V252"/>
      <c r="W252"/>
      <c r="X252"/>
      <c r="Y252"/>
      <c r="Z252" s="12"/>
      <c r="AA252" s="12"/>
      <c r="AB252" s="12"/>
      <c r="AC252" s="12"/>
      <c r="AD252" s="12"/>
      <c r="AE252" s="12"/>
      <c r="AF252" s="12"/>
      <c r="AG252" s="12"/>
      <c r="AH252" s="12"/>
      <c r="AI252" s="12"/>
    </row>
    <row r="253" spans="1:35" s="10" customFormat="1" x14ac:dyDescent="0.35">
      <c r="A253" s="12"/>
      <c r="B253" s="12"/>
      <c r="C253" s="12"/>
      <c r="D253"/>
      <c r="E253" s="24"/>
      <c r="F253" s="23"/>
      <c r="G253" s="23"/>
      <c r="H253" s="23"/>
      <c r="I253" s="22"/>
      <c r="J253" s="22"/>
      <c r="K253" s="22"/>
      <c r="L253" s="22"/>
      <c r="M253" s="24"/>
      <c r="N253" s="22"/>
      <c r="O253" s="22"/>
      <c r="P253" s="22"/>
      <c r="Q253" s="22"/>
      <c r="R253" s="28"/>
      <c r="S253" s="22"/>
      <c r="T253" s="24"/>
      <c r="U253"/>
      <c r="V253"/>
      <c r="W253"/>
      <c r="X253"/>
      <c r="Y253"/>
      <c r="Z253" s="12"/>
      <c r="AA253" s="12"/>
      <c r="AB253" s="12"/>
      <c r="AC253" s="12"/>
      <c r="AD253" s="12"/>
      <c r="AE253" s="12"/>
      <c r="AF253" s="12"/>
      <c r="AG253" s="12"/>
      <c r="AH253" s="12"/>
      <c r="AI253" s="12"/>
    </row>
    <row r="254" spans="1:35" s="10" customFormat="1" x14ac:dyDescent="0.35">
      <c r="A254" s="12"/>
      <c r="B254" s="12"/>
      <c r="C254" s="12"/>
      <c r="D254"/>
      <c r="E254" s="24"/>
      <c r="F254" s="23"/>
      <c r="G254" s="23"/>
      <c r="H254" s="23"/>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35">
      <c r="A255" s="12"/>
      <c r="B255" s="12"/>
      <c r="C255" s="12"/>
      <c r="D255"/>
      <c r="E255" s="24"/>
      <c r="F255" s="23"/>
      <c r="G255" s="23"/>
      <c r="H255" s="23"/>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35">
      <c r="A256" s="12"/>
      <c r="B256" s="12"/>
      <c r="C256" s="12"/>
      <c r="D256"/>
      <c r="E256" s="24"/>
      <c r="F256" s="23"/>
      <c r="G256" s="23"/>
      <c r="H256" s="26"/>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35">
      <c r="A257" s="12"/>
      <c r="B257" s="12"/>
      <c r="C257" s="12"/>
      <c r="D257"/>
      <c r="E257" s="24"/>
      <c r="F257" s="23"/>
      <c r="G257" s="23"/>
      <c r="H257" s="26"/>
      <c r="I257" s="22"/>
      <c r="J257" s="22"/>
      <c r="K257" s="22"/>
      <c r="L257" s="22"/>
      <c r="M257" s="24"/>
      <c r="N257" s="22"/>
      <c r="O257" s="22"/>
      <c r="P257" s="22"/>
      <c r="Q257" s="23"/>
      <c r="R257" s="23"/>
      <c r="S257" s="22"/>
      <c r="T257" s="24"/>
      <c r="U257"/>
      <c r="V257"/>
      <c r="W257"/>
      <c r="X257"/>
      <c r="Y257"/>
      <c r="Z257" s="12"/>
      <c r="AA257" s="12"/>
      <c r="AB257" s="12"/>
      <c r="AC257" s="12"/>
      <c r="AD257" s="12"/>
      <c r="AE257" s="12"/>
      <c r="AF257" s="12"/>
      <c r="AG257" s="12"/>
      <c r="AH257" s="12"/>
      <c r="AI257" s="12"/>
    </row>
    <row r="258" spans="1:35" s="10" customFormat="1" x14ac:dyDescent="0.35">
      <c r="A258" s="12"/>
      <c r="B258" s="12"/>
      <c r="C258" s="12"/>
      <c r="D258"/>
      <c r="E258" s="24"/>
      <c r="F258" s="23"/>
      <c r="G258" s="23"/>
      <c r="H258" s="26"/>
      <c r="I258" s="22"/>
      <c r="J258" s="22"/>
      <c r="K258" s="22"/>
      <c r="L258" s="22"/>
      <c r="M258" s="24"/>
      <c r="N258" s="22"/>
      <c r="O258" s="22"/>
      <c r="P258" s="22"/>
      <c r="Q258" s="23"/>
      <c r="R258" s="23"/>
      <c r="S258" s="22"/>
      <c r="T258" s="24"/>
      <c r="U258"/>
      <c r="V258"/>
      <c r="W258"/>
      <c r="X258"/>
      <c r="Y258"/>
      <c r="Z258" s="12"/>
      <c r="AA258" s="12"/>
      <c r="AB258" s="12"/>
      <c r="AC258" s="12"/>
      <c r="AD258" s="12"/>
      <c r="AE258" s="12"/>
      <c r="AF258" s="12"/>
      <c r="AG258" s="12"/>
      <c r="AH258" s="12"/>
      <c r="AI258" s="12"/>
    </row>
    <row r="259" spans="1:35" s="10" customFormat="1" x14ac:dyDescent="0.35">
      <c r="A259" s="12"/>
      <c r="B259" s="12"/>
      <c r="C259" s="12"/>
      <c r="D259"/>
      <c r="E259" s="24"/>
      <c r="F259" s="23"/>
      <c r="G259" s="23"/>
      <c r="H259" s="26"/>
      <c r="I259" s="22"/>
      <c r="J259" s="22"/>
      <c r="K259" s="22"/>
      <c r="L259" s="22"/>
      <c r="M259" s="24"/>
      <c r="N259" s="22"/>
      <c r="O259" s="22"/>
      <c r="P259" s="22"/>
      <c r="Q259" s="23"/>
      <c r="R259" s="23"/>
      <c r="S259" s="22"/>
      <c r="T259" s="24"/>
      <c r="U259"/>
      <c r="V259"/>
      <c r="W259"/>
      <c r="X259"/>
      <c r="Y259"/>
      <c r="Z259" s="12"/>
      <c r="AA259" s="12"/>
      <c r="AB259" s="12"/>
      <c r="AC259" s="12"/>
      <c r="AD259" s="12"/>
      <c r="AE259" s="12"/>
      <c r="AF259" s="12"/>
      <c r="AG259" s="12"/>
      <c r="AH259" s="12"/>
      <c r="AI259" s="12"/>
    </row>
    <row r="260" spans="1:35" s="10" customFormat="1" x14ac:dyDescent="0.35">
      <c r="A260" s="12"/>
      <c r="B260" s="12"/>
      <c r="C260" s="12"/>
      <c r="D260"/>
      <c r="E260" s="24"/>
      <c r="F260" s="23"/>
      <c r="G260" s="23"/>
      <c r="H260" s="26"/>
      <c r="I260" s="22"/>
      <c r="J260" s="22"/>
      <c r="K260" s="22"/>
      <c r="L260" s="22"/>
      <c r="M260" s="24"/>
      <c r="N260" s="22"/>
      <c r="O260" s="22"/>
      <c r="P260" s="22"/>
      <c r="Q260" s="23"/>
      <c r="R260" s="23"/>
      <c r="S260" s="22"/>
      <c r="T260" s="24"/>
      <c r="U260"/>
      <c r="V260"/>
      <c r="W260"/>
      <c r="X260"/>
      <c r="Y260"/>
      <c r="Z260" s="12"/>
      <c r="AA260" s="12"/>
      <c r="AB260" s="12"/>
      <c r="AC260" s="12"/>
      <c r="AD260" s="12"/>
      <c r="AE260" s="12"/>
      <c r="AF260" s="12"/>
      <c r="AG260" s="12"/>
      <c r="AH260" s="12"/>
      <c r="AI260" s="12"/>
    </row>
    <row r="261" spans="1:35" s="10" customFormat="1" x14ac:dyDescent="0.35">
      <c r="A261" s="12"/>
      <c r="B261" s="12"/>
      <c r="C261" s="12"/>
      <c r="D261"/>
      <c r="E261" s="24"/>
      <c r="F261" s="23"/>
      <c r="G261" s="23"/>
      <c r="H261" s="26"/>
      <c r="I261" s="22"/>
      <c r="J261" s="22"/>
      <c r="K261" s="22"/>
      <c r="L261" s="22"/>
      <c r="M261" s="24"/>
      <c r="N261" s="22"/>
      <c r="O261" s="22"/>
      <c r="P261" s="22"/>
      <c r="Q261" s="23"/>
      <c r="R261" s="23"/>
      <c r="S261" s="22"/>
      <c r="T261" s="24"/>
      <c r="U261"/>
      <c r="V261"/>
      <c r="W261"/>
      <c r="X261"/>
      <c r="Y261"/>
      <c r="Z261" s="12"/>
      <c r="AA261" s="12"/>
      <c r="AB261" s="12"/>
      <c r="AC261" s="12"/>
      <c r="AD261" s="12"/>
      <c r="AE261" s="12"/>
      <c r="AF261" s="12"/>
      <c r="AG261" s="12"/>
      <c r="AH261" s="12"/>
      <c r="AI261" s="12"/>
    </row>
    <row r="262" spans="1:35" s="10" customFormat="1" x14ac:dyDescent="0.35">
      <c r="A262" s="12"/>
      <c r="B262" s="12"/>
      <c r="C262" s="12"/>
      <c r="D262"/>
      <c r="E262" s="24"/>
      <c r="F262" s="23"/>
      <c r="G262" s="23"/>
      <c r="H262" s="26"/>
      <c r="I262" s="22"/>
      <c r="J262" s="22"/>
      <c r="K262" s="22"/>
      <c r="L262" s="22"/>
      <c r="M262" s="24"/>
      <c r="N262" s="22"/>
      <c r="O262" s="22"/>
      <c r="P262" s="22"/>
      <c r="Q262" s="23"/>
      <c r="R262" s="23"/>
      <c r="S262" s="22"/>
      <c r="T262" s="24"/>
      <c r="U262"/>
      <c r="V262"/>
      <c r="W262"/>
      <c r="X262"/>
      <c r="Y262"/>
      <c r="Z262" s="12"/>
      <c r="AA262" s="12"/>
      <c r="AB262" s="12"/>
      <c r="AC262" s="12"/>
      <c r="AD262" s="12"/>
      <c r="AE262" s="12"/>
      <c r="AF262" s="12"/>
      <c r="AG262" s="12"/>
      <c r="AH262" s="12"/>
      <c r="AI262" s="12"/>
    </row>
    <row r="263" spans="1:35" s="10" customFormat="1" x14ac:dyDescent="0.35">
      <c r="A263" s="12"/>
      <c r="B263" s="12"/>
      <c r="C263" s="12"/>
      <c r="D263"/>
      <c r="E263" s="24"/>
      <c r="F263" s="23"/>
      <c r="G263" s="23"/>
      <c r="H263" s="26"/>
      <c r="I263" s="22"/>
      <c r="J263" s="22"/>
      <c r="K263" s="22"/>
      <c r="L263" s="22"/>
      <c r="M263" s="21"/>
      <c r="N263" s="22"/>
      <c r="O263" s="22"/>
      <c r="P263" s="22"/>
      <c r="Q263" s="22"/>
      <c r="R263" s="28"/>
      <c r="S263" s="22"/>
      <c r="T263" s="20"/>
      <c r="U263"/>
      <c r="V263"/>
      <c r="W263"/>
      <c r="X263"/>
      <c r="Y263"/>
      <c r="Z263" s="12"/>
      <c r="AA263" s="12"/>
      <c r="AB263" s="12"/>
      <c r="AC263" s="12"/>
      <c r="AD263" s="12"/>
      <c r="AE263" s="12"/>
      <c r="AF263" s="12"/>
      <c r="AG263" s="12"/>
      <c r="AH263" s="12"/>
      <c r="AI263" s="12"/>
    </row>
    <row r="264" spans="1:35" s="10" customFormat="1" x14ac:dyDescent="0.35">
      <c r="A264" s="12"/>
      <c r="B264" s="12"/>
      <c r="C264" s="12"/>
      <c r="D264"/>
      <c r="E264" s="24"/>
      <c r="F264" s="23"/>
      <c r="G264" s="22"/>
      <c r="H264" s="22"/>
      <c r="I264" s="22"/>
      <c r="J264" s="22"/>
      <c r="K264" s="22"/>
      <c r="L264" s="22"/>
      <c r="M264" s="21"/>
      <c r="N264" s="22"/>
      <c r="O264" s="22"/>
      <c r="P264" s="22"/>
      <c r="Q264" s="22"/>
      <c r="R264" s="22"/>
      <c r="S264" s="22"/>
      <c r="T264" s="19"/>
      <c r="U264"/>
      <c r="V264"/>
      <c r="W264"/>
      <c r="X264"/>
      <c r="Y264"/>
      <c r="Z264" s="12"/>
      <c r="AA264" s="12"/>
      <c r="AB264" s="12"/>
      <c r="AC264" s="12"/>
      <c r="AD264" s="12"/>
      <c r="AE264" s="12"/>
      <c r="AF264" s="12"/>
      <c r="AG264" s="12"/>
      <c r="AH264" s="12"/>
      <c r="AI264" s="12"/>
    </row>
    <row r="265" spans="1:35" s="10" customFormat="1" x14ac:dyDescent="0.35">
      <c r="A265" s="12"/>
      <c r="B265" s="12"/>
      <c r="C265" s="12"/>
      <c r="D265"/>
      <c r="E265" s="24"/>
      <c r="F265" s="23"/>
      <c r="G265" s="23"/>
      <c r="H265" s="26"/>
      <c r="I265" s="22"/>
      <c r="J265" s="22"/>
      <c r="K265" s="22"/>
      <c r="L265" s="22"/>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35">
      <c r="A266" s="12"/>
      <c r="B266" s="12"/>
      <c r="C266" s="12"/>
      <c r="D266"/>
      <c r="E266" s="19"/>
      <c r="F266" s="23"/>
      <c r="G266" s="22"/>
      <c r="H266" s="22"/>
      <c r="I266" s="22"/>
      <c r="J266" s="22"/>
      <c r="K266" s="22"/>
      <c r="L266" s="23"/>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35">
      <c r="A267" s="12"/>
      <c r="B267" s="12"/>
      <c r="C267" s="12"/>
      <c r="D267"/>
      <c r="E267" s="19"/>
      <c r="F267" s="23"/>
      <c r="G267" s="22"/>
      <c r="H267" s="22"/>
      <c r="I267" s="22"/>
      <c r="J267" s="22"/>
      <c r="K267" s="22"/>
      <c r="L267" s="23"/>
      <c r="M267" s="24"/>
      <c r="N267" s="22"/>
      <c r="O267" s="22"/>
      <c r="P267" s="22"/>
      <c r="Q267" s="22"/>
      <c r="R267" s="28"/>
      <c r="S267" s="22"/>
      <c r="T267" s="24"/>
      <c r="U267"/>
      <c r="V267"/>
      <c r="W267"/>
      <c r="X267"/>
      <c r="Y267"/>
      <c r="Z267" s="12"/>
      <c r="AA267" s="12"/>
      <c r="AB267" s="12"/>
      <c r="AC267" s="12"/>
      <c r="AD267" s="12"/>
      <c r="AE267" s="12"/>
      <c r="AF267" s="12"/>
      <c r="AG267" s="12"/>
      <c r="AH267" s="12"/>
      <c r="AI267" s="12"/>
    </row>
    <row r="268" spans="1:35" s="10" customFormat="1" x14ac:dyDescent="0.35">
      <c r="A268" s="12"/>
      <c r="B268" s="12"/>
      <c r="C268" s="12"/>
      <c r="D268"/>
      <c r="E268" s="19"/>
      <c r="F268" s="23"/>
      <c r="G268" s="22"/>
      <c r="H268" s="25"/>
      <c r="I268" s="22"/>
      <c r="J268" s="22"/>
      <c r="K268" s="22"/>
      <c r="L268" s="23"/>
      <c r="M268" s="24"/>
      <c r="N268" s="22"/>
      <c r="O268" s="22"/>
      <c r="P268" s="22"/>
      <c r="Q268" s="22"/>
      <c r="R268" s="28"/>
      <c r="S268" s="22"/>
      <c r="T268" s="24"/>
      <c r="U268"/>
      <c r="V268"/>
      <c r="W268"/>
      <c r="X268"/>
      <c r="Y268"/>
      <c r="Z268" s="12"/>
      <c r="AA268" s="12"/>
      <c r="AB268" s="12"/>
      <c r="AC268" s="12"/>
      <c r="AD268" s="12"/>
      <c r="AE268" s="12"/>
      <c r="AF268" s="12"/>
      <c r="AG268" s="12"/>
      <c r="AH268" s="12"/>
      <c r="AI268" s="12"/>
    </row>
    <row r="269" spans="1:35" s="10" customFormat="1" x14ac:dyDescent="0.35">
      <c r="A269" s="12"/>
      <c r="B269" s="12"/>
      <c r="C269" s="12"/>
      <c r="D269"/>
      <c r="E269" s="19"/>
      <c r="F269" s="23"/>
      <c r="G269" s="22"/>
      <c r="H269" s="22"/>
      <c r="I269" s="22"/>
      <c r="J269" s="22"/>
      <c r="K269" s="22"/>
      <c r="L269" s="23"/>
      <c r="M269" s="24"/>
      <c r="N269" s="22"/>
      <c r="O269" s="22"/>
      <c r="P269" s="22"/>
      <c r="Q269" s="22"/>
      <c r="R269" s="28"/>
      <c r="S269" s="22"/>
      <c r="T269" s="24"/>
      <c r="U269"/>
      <c r="V269"/>
      <c r="W269"/>
      <c r="X269"/>
      <c r="Y269"/>
      <c r="Z269" s="12"/>
      <c r="AA269" s="12"/>
      <c r="AB269" s="12"/>
      <c r="AC269" s="12"/>
      <c r="AD269" s="12"/>
      <c r="AE269" s="12"/>
      <c r="AF269" s="12"/>
      <c r="AG269" s="12"/>
      <c r="AH269" s="12"/>
      <c r="AI269" s="12"/>
    </row>
    <row r="270" spans="1:35" s="10" customFormat="1" x14ac:dyDescent="0.35">
      <c r="A270" s="12"/>
      <c r="B270" s="12"/>
      <c r="C270" s="12"/>
      <c r="D270"/>
      <c r="E270" s="19"/>
      <c r="F270" s="23"/>
      <c r="G270" s="22"/>
      <c r="H270" s="22"/>
      <c r="I270" s="22"/>
      <c r="J270" s="22"/>
      <c r="K270" s="22"/>
      <c r="L270" s="23"/>
      <c r="M270" s="24"/>
      <c r="N270" s="22"/>
      <c r="O270" s="22"/>
      <c r="P270" s="22"/>
      <c r="Q270" s="22"/>
      <c r="R270" s="28"/>
      <c r="S270" s="22"/>
      <c r="T270" s="24"/>
      <c r="U270"/>
      <c r="V270"/>
      <c r="W270"/>
      <c r="X270"/>
      <c r="Y270"/>
      <c r="Z270" s="12"/>
      <c r="AA270" s="12"/>
      <c r="AB270" s="12"/>
      <c r="AC270" s="12"/>
      <c r="AD270" s="12"/>
      <c r="AE270" s="12"/>
      <c r="AF270" s="12"/>
      <c r="AG270" s="12"/>
      <c r="AH270" s="12"/>
      <c r="AI270" s="12"/>
    </row>
    <row r="271" spans="1:35" s="10" customFormat="1" x14ac:dyDescent="0.35">
      <c r="A271" s="12"/>
      <c r="B271" s="12"/>
      <c r="C271" s="12"/>
      <c r="D271"/>
      <c r="E271" s="22"/>
      <c r="F271" s="23"/>
      <c r="G271" s="22"/>
      <c r="H271" s="22"/>
      <c r="I271" s="22"/>
      <c r="J271" s="22"/>
      <c r="K271" s="22"/>
      <c r="L271" s="23"/>
      <c r="M271" s="24"/>
      <c r="N271" s="22"/>
      <c r="O271" s="22"/>
      <c r="P271" s="22"/>
      <c r="Q271" s="22"/>
      <c r="R271" s="28"/>
      <c r="S271" s="22"/>
      <c r="T271" s="24"/>
      <c r="U271"/>
      <c r="V271"/>
      <c r="W271"/>
      <c r="X271"/>
      <c r="Y271"/>
      <c r="Z271" s="12"/>
      <c r="AA271" s="12"/>
      <c r="AB271" s="12"/>
      <c r="AC271" s="12"/>
      <c r="AD271" s="12"/>
      <c r="AE271" s="12"/>
      <c r="AF271" s="12"/>
      <c r="AG271" s="12"/>
      <c r="AH271" s="12"/>
      <c r="AI271" s="12"/>
    </row>
    <row r="272" spans="1:35" s="10" customFormat="1" x14ac:dyDescent="0.35">
      <c r="A272" s="12"/>
      <c r="B272" s="12"/>
      <c r="C272" s="12"/>
      <c r="D272"/>
      <c r="E272" s="22"/>
      <c r="F272" s="23"/>
      <c r="G272" s="22"/>
      <c r="H272" s="22"/>
      <c r="I272" s="22"/>
      <c r="J272" s="22"/>
      <c r="K272" s="22"/>
      <c r="L272" s="23"/>
      <c r="M272" s="24"/>
      <c r="N272" s="22"/>
      <c r="O272" s="22"/>
      <c r="P272" s="22"/>
      <c r="Q272" s="22"/>
      <c r="R272" s="28"/>
      <c r="S272" s="22"/>
      <c r="T272" s="24"/>
      <c r="U272"/>
      <c r="V272"/>
      <c r="W272"/>
      <c r="X272"/>
      <c r="Y272"/>
      <c r="Z272" s="12"/>
      <c r="AA272" s="12"/>
      <c r="AB272" s="12"/>
      <c r="AC272" s="12"/>
      <c r="AD272" s="12"/>
      <c r="AE272" s="12"/>
      <c r="AF272" s="12"/>
      <c r="AG272" s="12"/>
      <c r="AH272" s="12"/>
      <c r="AI272" s="12"/>
    </row>
    <row r="273" spans="1:35" s="10" customFormat="1" x14ac:dyDescent="0.35">
      <c r="A273" s="12"/>
      <c r="B273" s="12"/>
      <c r="C273" s="12"/>
      <c r="D273"/>
      <c r="E273" s="22"/>
      <c r="F273" s="23"/>
      <c r="G273" s="22"/>
      <c r="H273" s="22"/>
      <c r="I273" s="22"/>
      <c r="J273" s="22"/>
      <c r="K273" s="22"/>
      <c r="L273" s="23"/>
      <c r="M273" s="24"/>
      <c r="N273" s="22"/>
      <c r="O273" s="22"/>
      <c r="P273" s="22"/>
      <c r="Q273" s="22"/>
      <c r="R273" s="28"/>
      <c r="S273" s="22"/>
      <c r="T273" s="24"/>
      <c r="U273"/>
      <c r="V273"/>
      <c r="W273"/>
      <c r="X273"/>
      <c r="Y273"/>
      <c r="Z273" s="12"/>
      <c r="AA273" s="12"/>
      <c r="AB273" s="12"/>
      <c r="AC273" s="12"/>
      <c r="AD273" s="12"/>
      <c r="AE273" s="12"/>
      <c r="AF273" s="12"/>
      <c r="AG273" s="12"/>
      <c r="AH273" s="12"/>
      <c r="AI273" s="12"/>
    </row>
    <row r="274" spans="1:35" s="10" customFormat="1" x14ac:dyDescent="0.35">
      <c r="A274" s="12"/>
      <c r="B274" s="12"/>
      <c r="C274" s="12"/>
      <c r="D274"/>
      <c r="E274" s="24"/>
      <c r="F274" s="23"/>
      <c r="G274" s="23"/>
      <c r="H274" s="23"/>
      <c r="I274" s="22"/>
      <c r="J274" s="22"/>
      <c r="K274" s="22"/>
      <c r="L274" s="22"/>
      <c r="M274" s="24"/>
      <c r="N274" s="22"/>
      <c r="O274" s="22"/>
      <c r="P274" s="22"/>
      <c r="Q274" s="22"/>
      <c r="R274" s="28"/>
      <c r="S274" s="22"/>
      <c r="T274" s="24"/>
      <c r="U274"/>
      <c r="V274"/>
      <c r="W274"/>
      <c r="X274"/>
      <c r="Y274"/>
      <c r="Z274" s="12"/>
      <c r="AA274" s="12"/>
      <c r="AB274" s="12"/>
      <c r="AC274" s="12"/>
      <c r="AD274" s="12"/>
      <c r="AE274" s="12"/>
      <c r="AF274" s="12"/>
      <c r="AG274" s="12"/>
      <c r="AH274" s="12"/>
      <c r="AI274" s="12"/>
    </row>
    <row r="275" spans="1:35" s="10" customFormat="1" x14ac:dyDescent="0.35">
      <c r="A275" s="12"/>
      <c r="B275" s="12"/>
      <c r="C275" s="12"/>
      <c r="D275"/>
      <c r="E275" s="24"/>
      <c r="F275" s="23"/>
      <c r="G275" s="23"/>
      <c r="H275" s="23"/>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35">
      <c r="A276" s="12"/>
      <c r="B276" s="12"/>
      <c r="C276" s="12"/>
      <c r="D276"/>
      <c r="E276" s="24"/>
      <c r="F276" s="23"/>
      <c r="G276" s="23"/>
      <c r="H276" s="23"/>
      <c r="I276" s="22"/>
      <c r="J276" s="22"/>
      <c r="K276" s="22"/>
      <c r="L276" s="22"/>
      <c r="M276" s="24"/>
      <c r="N276" s="22"/>
      <c r="O276" s="22"/>
      <c r="P276" s="22"/>
      <c r="Q276" s="23"/>
      <c r="R276" s="23"/>
      <c r="S276" s="22"/>
      <c r="T276" s="24"/>
      <c r="U276"/>
      <c r="V276"/>
      <c r="W276"/>
      <c r="X276"/>
      <c r="Y276"/>
      <c r="Z276" s="12"/>
      <c r="AA276" s="12"/>
      <c r="AB276" s="12"/>
      <c r="AC276" s="12"/>
      <c r="AD276" s="12"/>
      <c r="AE276" s="12"/>
      <c r="AF276" s="12"/>
      <c r="AG276" s="12"/>
      <c r="AH276" s="12"/>
      <c r="AI276" s="12"/>
    </row>
    <row r="277" spans="1:35" s="10" customFormat="1" x14ac:dyDescent="0.35">
      <c r="A277" s="12"/>
      <c r="B277" s="12"/>
      <c r="C277" s="12"/>
      <c r="D277"/>
      <c r="E277" s="24"/>
      <c r="F277" s="23"/>
      <c r="G277" s="23"/>
      <c r="H277" s="26"/>
      <c r="I277" s="22"/>
      <c r="J277" s="22"/>
      <c r="K277" s="22"/>
      <c r="L277" s="22"/>
      <c r="M277" s="24"/>
      <c r="N277" s="22"/>
      <c r="O277" s="22"/>
      <c r="P277" s="22"/>
      <c r="Q277" s="23"/>
      <c r="R277" s="23"/>
      <c r="S277" s="22"/>
      <c r="T277" s="24"/>
      <c r="U277"/>
      <c r="V277"/>
      <c r="W277"/>
      <c r="X277"/>
      <c r="Y277"/>
      <c r="Z277" s="12"/>
      <c r="AA277" s="12"/>
      <c r="AB277" s="12"/>
      <c r="AC277" s="12"/>
      <c r="AD277" s="12"/>
      <c r="AE277" s="12"/>
      <c r="AF277" s="12"/>
      <c r="AG277" s="12"/>
      <c r="AH277" s="12"/>
      <c r="AI277" s="12"/>
    </row>
    <row r="278" spans="1:35" s="10" customFormat="1" x14ac:dyDescent="0.35">
      <c r="A278" s="12"/>
      <c r="B278" s="12"/>
      <c r="C278" s="12"/>
      <c r="D278"/>
      <c r="E278" s="24"/>
      <c r="F278" s="23"/>
      <c r="G278" s="23"/>
      <c r="H278" s="26"/>
      <c r="I278" s="22"/>
      <c r="J278" s="22"/>
      <c r="K278" s="22"/>
      <c r="L278" s="22"/>
      <c r="M278" s="24"/>
      <c r="N278" s="22"/>
      <c r="O278" s="22"/>
      <c r="P278" s="22"/>
      <c r="Q278" s="23"/>
      <c r="R278" s="23"/>
      <c r="S278" s="22"/>
      <c r="T278" s="24"/>
      <c r="U278"/>
      <c r="V278"/>
      <c r="W278"/>
      <c r="X278"/>
      <c r="Y278"/>
      <c r="Z278" s="12"/>
      <c r="AA278" s="12"/>
      <c r="AB278" s="12"/>
      <c r="AC278" s="12"/>
      <c r="AD278" s="12"/>
      <c r="AE278" s="12"/>
      <c r="AF278" s="12"/>
      <c r="AG278" s="12"/>
      <c r="AH278" s="12"/>
      <c r="AI278" s="12"/>
    </row>
    <row r="279" spans="1:35" s="10" customFormat="1" x14ac:dyDescent="0.35">
      <c r="A279" s="12"/>
      <c r="B279" s="12"/>
      <c r="C279" s="12"/>
      <c r="D279"/>
      <c r="E279" s="24"/>
      <c r="F279" s="23"/>
      <c r="G279" s="23"/>
      <c r="H279" s="26"/>
      <c r="I279" s="22"/>
      <c r="J279" s="22"/>
      <c r="K279" s="22"/>
      <c r="L279" s="22"/>
      <c r="M279" s="24"/>
      <c r="N279" s="22"/>
      <c r="O279" s="22"/>
      <c r="P279" s="22"/>
      <c r="Q279" s="23"/>
      <c r="R279" s="23"/>
      <c r="S279" s="22"/>
      <c r="T279" s="24"/>
      <c r="U279"/>
      <c r="V279"/>
      <c r="W279"/>
      <c r="X279"/>
      <c r="Y279"/>
      <c r="Z279" s="12"/>
      <c r="AA279" s="12"/>
      <c r="AB279" s="12"/>
      <c r="AC279" s="12"/>
      <c r="AD279" s="12"/>
      <c r="AE279" s="12"/>
      <c r="AF279" s="12"/>
      <c r="AG279" s="12"/>
      <c r="AH279" s="12"/>
      <c r="AI279" s="12"/>
    </row>
    <row r="280" spans="1:35" s="10" customFormat="1" x14ac:dyDescent="0.35">
      <c r="A280" s="12"/>
      <c r="B280" s="12"/>
      <c r="C280" s="12"/>
      <c r="D280"/>
      <c r="E280" s="24"/>
      <c r="F280" s="23"/>
      <c r="G280" s="23"/>
      <c r="H280" s="26"/>
      <c r="I280" s="22"/>
      <c r="J280" s="22"/>
      <c r="K280" s="22"/>
      <c r="L280" s="22"/>
      <c r="M280" s="24"/>
      <c r="N280" s="22"/>
      <c r="O280" s="22"/>
      <c r="P280" s="22"/>
      <c r="Q280" s="23"/>
      <c r="R280" s="23"/>
      <c r="S280" s="22"/>
      <c r="T280" s="24"/>
      <c r="U280"/>
      <c r="V280"/>
      <c r="W280"/>
      <c r="X280"/>
      <c r="Y280"/>
      <c r="Z280" s="12"/>
      <c r="AA280" s="12"/>
      <c r="AB280" s="12"/>
      <c r="AC280" s="12"/>
      <c r="AD280" s="12"/>
      <c r="AE280" s="12"/>
      <c r="AF280" s="12"/>
      <c r="AG280" s="12"/>
      <c r="AH280" s="12"/>
      <c r="AI280" s="12"/>
    </row>
    <row r="281" spans="1:35" s="10" customFormat="1" x14ac:dyDescent="0.35">
      <c r="A281" s="12"/>
      <c r="B281" s="12"/>
      <c r="C281" s="12"/>
      <c r="D281"/>
      <c r="E281" s="24"/>
      <c r="F281" s="23"/>
      <c r="G281" s="23"/>
      <c r="H281" s="26"/>
      <c r="I281" s="22"/>
      <c r="J281" s="22"/>
      <c r="K281" s="22"/>
      <c r="L281" s="22"/>
      <c r="M281" s="24"/>
      <c r="N281" s="22"/>
      <c r="O281" s="22"/>
      <c r="P281" s="22"/>
      <c r="Q281" s="23"/>
      <c r="R281" s="23"/>
      <c r="S281" s="22"/>
      <c r="T281" s="24"/>
      <c r="U281"/>
      <c r="V281"/>
      <c r="W281"/>
      <c r="X281"/>
      <c r="Y281"/>
      <c r="Z281" s="12"/>
      <c r="AA281" s="12"/>
      <c r="AB281" s="12"/>
      <c r="AC281" s="12"/>
      <c r="AD281" s="12"/>
      <c r="AE281" s="12"/>
      <c r="AF281" s="12"/>
      <c r="AG281" s="12"/>
      <c r="AH281" s="12"/>
      <c r="AI281" s="12"/>
    </row>
    <row r="282" spans="1:35" s="10" customFormat="1" x14ac:dyDescent="0.35">
      <c r="A282" s="12"/>
      <c r="B282" s="12"/>
      <c r="C282" s="12"/>
      <c r="D282"/>
      <c r="E282" s="24"/>
      <c r="F282" s="23"/>
      <c r="G282" s="23"/>
      <c r="H282" s="26"/>
      <c r="I282" s="22"/>
      <c r="J282" s="22"/>
      <c r="K282" s="22"/>
      <c r="L282" s="22"/>
      <c r="M282" s="24"/>
      <c r="N282" s="22"/>
      <c r="O282" s="22"/>
      <c r="P282" s="22"/>
      <c r="Q282" s="23"/>
      <c r="R282" s="23"/>
      <c r="S282" s="22"/>
      <c r="T282" s="24"/>
      <c r="U282"/>
      <c r="V282"/>
      <c r="W282"/>
      <c r="X282"/>
      <c r="Y282"/>
      <c r="Z282" s="12"/>
      <c r="AA282" s="12"/>
      <c r="AB282" s="12"/>
      <c r="AC282" s="12"/>
      <c r="AD282" s="12"/>
      <c r="AE282" s="12"/>
      <c r="AF282" s="12"/>
      <c r="AG282" s="12"/>
      <c r="AH282" s="12"/>
      <c r="AI282" s="12"/>
    </row>
    <row r="283" spans="1:35" s="10" customFormat="1" x14ac:dyDescent="0.35">
      <c r="A283" s="12"/>
      <c r="B283" s="12"/>
      <c r="C283" s="12"/>
      <c r="D283"/>
      <c r="E283" s="24"/>
      <c r="F283" s="23"/>
      <c r="G283" s="23"/>
      <c r="H283" s="26"/>
      <c r="I283" s="22"/>
      <c r="J283" s="22"/>
      <c r="K283" s="22"/>
      <c r="L283" s="22"/>
      <c r="M283" s="24"/>
      <c r="N283" s="22"/>
      <c r="O283" s="22"/>
      <c r="P283" s="22"/>
      <c r="Q283" s="23"/>
      <c r="R283" s="23"/>
      <c r="S283" s="22"/>
      <c r="T283" s="24"/>
      <c r="U283"/>
      <c r="V283"/>
      <c r="W283"/>
      <c r="X283"/>
      <c r="Y283"/>
      <c r="Z283" s="12"/>
      <c r="AA283" s="12"/>
      <c r="AB283" s="12"/>
      <c r="AC283" s="12"/>
      <c r="AD283" s="12"/>
      <c r="AE283" s="12"/>
      <c r="AF283" s="12"/>
      <c r="AG283" s="12"/>
      <c r="AH283" s="12"/>
      <c r="AI283" s="12"/>
    </row>
    <row r="284" spans="1:35" s="10" customFormat="1" x14ac:dyDescent="0.35">
      <c r="A284" s="12"/>
      <c r="B284" s="12"/>
      <c r="C284" s="12"/>
      <c r="D284"/>
      <c r="E284" s="24"/>
      <c r="F284" s="23"/>
      <c r="G284" s="23"/>
      <c r="H284" s="26"/>
      <c r="I284" s="22"/>
      <c r="J284" s="22"/>
      <c r="K284" s="22"/>
      <c r="L284" s="22"/>
      <c r="M284" s="21"/>
      <c r="N284" s="22"/>
      <c r="O284" s="22"/>
      <c r="P284" s="22"/>
      <c r="Q284" s="22"/>
      <c r="R284" s="28"/>
      <c r="S284" s="22"/>
      <c r="T284" s="20"/>
      <c r="U284"/>
      <c r="V284"/>
      <c r="W284"/>
      <c r="X284"/>
      <c r="Y284"/>
      <c r="Z284" s="12"/>
      <c r="AA284" s="12"/>
      <c r="AB284" s="12"/>
      <c r="AC284" s="12"/>
      <c r="AD284" s="12"/>
      <c r="AE284" s="12"/>
      <c r="AF284" s="12"/>
      <c r="AG284" s="12"/>
      <c r="AH284" s="12"/>
      <c r="AI284" s="12"/>
    </row>
    <row r="285" spans="1:35" s="10" customFormat="1" x14ac:dyDescent="0.3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35">
      <c r="A286" s="12"/>
      <c r="B286" s="12"/>
      <c r="C286" s="12"/>
      <c r="D286"/>
      <c r="E286"/>
      <c r="F286"/>
      <c r="G286"/>
      <c r="H286"/>
      <c r="I286"/>
      <c r="J286"/>
      <c r="K286"/>
      <c r="L286"/>
      <c r="M286"/>
      <c r="N286"/>
      <c r="O286"/>
      <c r="P286"/>
      <c r="Q286"/>
      <c r="R286"/>
      <c r="S286"/>
      <c r="T286"/>
      <c r="U286"/>
      <c r="V286"/>
      <c r="W286"/>
      <c r="X286"/>
      <c r="Y286" s="12"/>
      <c r="Z286" s="12"/>
      <c r="AA286" s="12"/>
      <c r="AB286" s="12"/>
      <c r="AC286" s="12"/>
      <c r="AD286" s="12"/>
      <c r="AE286" s="12"/>
      <c r="AF286" s="12"/>
      <c r="AG286" s="12"/>
      <c r="AH286" s="12"/>
      <c r="AI286" s="12"/>
    </row>
    <row r="287" spans="1:35" s="10" customFormat="1" x14ac:dyDescent="0.35">
      <c r="A287" s="12"/>
      <c r="B287" s="12"/>
      <c r="C287" s="12"/>
      <c r="D287"/>
      <c r="E287"/>
      <c r="F287"/>
      <c r="G287"/>
      <c r="H287"/>
      <c r="I287"/>
      <c r="J287"/>
      <c r="K287"/>
      <c r="L287"/>
      <c r="M287"/>
      <c r="N287"/>
      <c r="O287"/>
      <c r="P287"/>
      <c r="Q287"/>
      <c r="R287"/>
      <c r="S287"/>
      <c r="T287"/>
      <c r="U287"/>
      <c r="V287"/>
      <c r="W287"/>
      <c r="X287"/>
      <c r="Y287" s="12"/>
      <c r="Z287" s="12"/>
      <c r="AA287" s="12"/>
      <c r="AB287" s="12"/>
      <c r="AC287" s="12"/>
      <c r="AD287" s="12"/>
      <c r="AE287" s="12"/>
      <c r="AF287" s="12"/>
      <c r="AG287" s="12"/>
      <c r="AH287" s="12"/>
      <c r="AI287" s="12"/>
    </row>
    <row r="288" spans="1:35" s="10" customFormat="1" x14ac:dyDescent="0.35">
      <c r="A288" s="12"/>
      <c r="B288" s="12"/>
      <c r="C288" s="12"/>
      <c r="D288"/>
      <c r="E288"/>
      <c r="F288"/>
      <c r="G288"/>
      <c r="H288"/>
      <c r="I288"/>
      <c r="J288"/>
      <c r="K288"/>
      <c r="L288"/>
      <c r="M288"/>
      <c r="N288"/>
      <c r="O288"/>
      <c r="P288"/>
      <c r="Q288"/>
      <c r="R288"/>
      <c r="S288"/>
      <c r="T288"/>
      <c r="U288"/>
      <c r="V288"/>
      <c r="W288"/>
      <c r="X288"/>
      <c r="Y288" s="12"/>
      <c r="Z288" s="12"/>
      <c r="AA288" s="12"/>
      <c r="AB288" s="12"/>
      <c r="AC288" s="12"/>
      <c r="AD288" s="12"/>
      <c r="AE288" s="12"/>
      <c r="AF288" s="12"/>
      <c r="AG288" s="12"/>
      <c r="AH288" s="12"/>
      <c r="AI288" s="12"/>
    </row>
    <row r="289" spans="1:35" s="10" customFormat="1" x14ac:dyDescent="0.35">
      <c r="A289" s="12"/>
      <c r="B289" s="12"/>
      <c r="C289" s="12"/>
      <c r="D289"/>
      <c r="E289"/>
      <c r="F289"/>
      <c r="G289"/>
      <c r="H289"/>
      <c r="I289"/>
      <c r="J289"/>
      <c r="K289"/>
      <c r="L289"/>
      <c r="M289"/>
      <c r="N289"/>
      <c r="O289"/>
      <c r="P289"/>
      <c r="Q289"/>
      <c r="R289"/>
      <c r="S289"/>
      <c r="T289"/>
      <c r="U289"/>
      <c r="V289"/>
      <c r="W289"/>
      <c r="X289"/>
      <c r="Y289" s="12"/>
      <c r="Z289" s="12"/>
      <c r="AA289" s="12"/>
      <c r="AB289" s="12"/>
      <c r="AC289" s="12"/>
      <c r="AD289" s="12"/>
      <c r="AE289" s="12"/>
      <c r="AF289" s="12"/>
      <c r="AG289" s="12"/>
      <c r="AH289" s="12"/>
      <c r="AI289" s="12"/>
    </row>
    <row r="290" spans="1:35" s="10" customFormat="1" x14ac:dyDescent="0.35">
      <c r="A290" s="12"/>
      <c r="B290" s="12"/>
      <c r="C290" s="12"/>
      <c r="D290"/>
      <c r="E290"/>
      <c r="F290"/>
      <c r="G290"/>
      <c r="H290"/>
      <c r="I290"/>
      <c r="J290"/>
      <c r="K290"/>
      <c r="L290"/>
      <c r="M290"/>
      <c r="N290"/>
      <c r="O290"/>
      <c r="P290"/>
      <c r="Q290"/>
      <c r="R290"/>
      <c r="S290"/>
      <c r="T290"/>
      <c r="U290"/>
      <c r="V290"/>
      <c r="W290"/>
      <c r="X290"/>
      <c r="Y290" s="12"/>
      <c r="Z290" s="12"/>
      <c r="AA290" s="12"/>
      <c r="AB290" s="12"/>
      <c r="AC290" s="12"/>
      <c r="AD290" s="12"/>
      <c r="AE290" s="12"/>
      <c r="AF290" s="12"/>
      <c r="AG290" s="12"/>
      <c r="AH290" s="12"/>
      <c r="AI290" s="12"/>
    </row>
    <row r="291" spans="1:35" s="10" customFormat="1" x14ac:dyDescent="0.3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3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3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3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3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3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3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3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3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3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3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3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3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3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3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3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3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3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3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3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3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3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3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3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3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3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3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3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3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3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3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3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3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3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3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3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3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3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3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3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3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3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3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3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3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3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3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3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3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3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3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3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3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3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3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3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3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3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3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3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3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3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3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3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3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3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3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3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3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3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3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3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3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3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3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3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3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3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3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3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3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3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3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3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3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3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3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3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3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3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3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3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3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3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3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3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3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3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3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3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3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3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3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3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3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3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3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3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3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3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3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3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3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3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3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3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3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3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3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35">
      <c r="A410" s="12"/>
      <c r="B410" s="12"/>
      <c r="C410" s="12"/>
      <c r="D410"/>
      <c r="E410"/>
      <c r="F410"/>
      <c r="G410"/>
      <c r="H410"/>
      <c r="I410"/>
      <c r="J410"/>
      <c r="K410"/>
      <c r="L410"/>
      <c r="M410"/>
      <c r="N410"/>
      <c r="O410"/>
      <c r="P410"/>
      <c r="Q410"/>
      <c r="R410"/>
      <c r="S410"/>
      <c r="T410"/>
      <c r="U410"/>
      <c r="V410"/>
      <c r="W410"/>
      <c r="X410"/>
      <c r="Y410"/>
      <c r="Z410" s="12"/>
      <c r="AA410" s="12"/>
      <c r="AB410" s="12"/>
      <c r="AC410" s="12"/>
      <c r="AD410" s="12"/>
      <c r="AE410" s="12"/>
      <c r="AF410" s="12"/>
      <c r="AG410" s="12"/>
      <c r="AH410" s="12"/>
      <c r="AI410" s="12"/>
    </row>
    <row r="411" spans="1:35" s="10" customFormat="1" x14ac:dyDescent="0.35">
      <c r="A411" s="12"/>
      <c r="B411" s="12"/>
      <c r="C411" s="12"/>
      <c r="D411"/>
      <c r="E411"/>
      <c r="F411"/>
      <c r="G411"/>
      <c r="H411"/>
      <c r="I411"/>
      <c r="J411"/>
      <c r="K411"/>
      <c r="L411"/>
      <c r="M411"/>
      <c r="N411"/>
      <c r="O411"/>
      <c r="P411"/>
      <c r="Q411"/>
      <c r="R411"/>
      <c r="S411"/>
      <c r="T411"/>
      <c r="U411"/>
      <c r="V411"/>
      <c r="W411"/>
      <c r="X411"/>
      <c r="Y411"/>
      <c r="Z411" s="12"/>
      <c r="AA411" s="12"/>
      <c r="AB411" s="12"/>
      <c r="AC411" s="12"/>
      <c r="AD411" s="12"/>
      <c r="AE411" s="12"/>
      <c r="AF411" s="12"/>
      <c r="AG411" s="12"/>
      <c r="AH411" s="12"/>
      <c r="AI411" s="12"/>
    </row>
    <row r="412" spans="1:35" s="10" customFormat="1" x14ac:dyDescent="0.35">
      <c r="A412" s="12"/>
      <c r="B412" s="12"/>
      <c r="C412" s="12"/>
      <c r="D412"/>
      <c r="E412"/>
      <c r="F412"/>
      <c r="G412"/>
      <c r="H412"/>
      <c r="I412"/>
      <c r="J412"/>
      <c r="K412"/>
      <c r="L412"/>
      <c r="M412"/>
      <c r="N412"/>
      <c r="O412"/>
      <c r="P412"/>
      <c r="Q412"/>
      <c r="R412"/>
      <c r="S412"/>
      <c r="T412"/>
      <c r="U412"/>
      <c r="V412"/>
      <c r="W412"/>
      <c r="X412"/>
      <c r="Y412"/>
      <c r="Z412" s="12"/>
      <c r="AA412" s="12"/>
      <c r="AB412" s="12"/>
      <c r="AC412" s="12"/>
      <c r="AD412" s="12"/>
      <c r="AE412" s="12"/>
      <c r="AF412" s="12"/>
      <c r="AG412" s="12"/>
      <c r="AH412" s="12"/>
      <c r="AI412" s="12"/>
    </row>
    <row r="413" spans="1:35" s="10" customFormat="1" x14ac:dyDescent="0.35">
      <c r="A413" s="12"/>
      <c r="B413" s="12"/>
      <c r="C413" s="12"/>
      <c r="D413"/>
      <c r="E413"/>
      <c r="F413"/>
      <c r="G413"/>
      <c r="H413"/>
      <c r="I413"/>
      <c r="J413"/>
      <c r="K413"/>
      <c r="L413"/>
      <c r="M413"/>
      <c r="N413"/>
      <c r="O413"/>
      <c r="P413"/>
      <c r="Q413"/>
      <c r="R413"/>
      <c r="S413"/>
      <c r="T413"/>
      <c r="U413"/>
      <c r="V413"/>
      <c r="W413"/>
      <c r="X413"/>
      <c r="Y413"/>
      <c r="Z413" s="12"/>
      <c r="AA413" s="12"/>
      <c r="AB413" s="12"/>
      <c r="AC413" s="12"/>
      <c r="AD413" s="12"/>
      <c r="AE413" s="12"/>
      <c r="AF413" s="12"/>
      <c r="AG413" s="12"/>
      <c r="AH413" s="12"/>
      <c r="AI413" s="12"/>
    </row>
    <row r="414" spans="1:35" s="10" customFormat="1" x14ac:dyDescent="0.35">
      <c r="A414" s="12"/>
      <c r="B414" s="12"/>
      <c r="C414" s="12"/>
      <c r="D414"/>
      <c r="E414"/>
      <c r="F414"/>
      <c r="G414"/>
      <c r="H414"/>
      <c r="I414"/>
      <c r="J414"/>
      <c r="K414"/>
      <c r="L414"/>
      <c r="M414"/>
      <c r="N414"/>
      <c r="O414"/>
      <c r="P414"/>
      <c r="Q414"/>
      <c r="R414"/>
      <c r="S414"/>
      <c r="T414"/>
      <c r="U414"/>
      <c r="V414"/>
      <c r="W414"/>
      <c r="X414"/>
      <c r="Y414"/>
      <c r="Z414" s="12"/>
      <c r="AA414" s="12"/>
      <c r="AB414" s="12"/>
      <c r="AC414" s="12"/>
      <c r="AD414" s="12"/>
      <c r="AE414" s="12"/>
      <c r="AF414" s="12"/>
      <c r="AG414" s="12"/>
      <c r="AH414" s="12"/>
      <c r="AI414" s="12"/>
    </row>
    <row r="415" spans="1:35" s="10" customFormat="1" x14ac:dyDescent="0.35">
      <c r="A415" s="12"/>
      <c r="B415" s="12"/>
      <c r="C415" s="12"/>
      <c r="D415"/>
      <c r="E415"/>
      <c r="F415"/>
      <c r="G415"/>
      <c r="H415"/>
      <c r="I415"/>
      <c r="J415"/>
      <c r="K415"/>
      <c r="L415"/>
      <c r="M415"/>
      <c r="N415"/>
      <c r="O415"/>
      <c r="P415"/>
      <c r="Q415"/>
      <c r="R415"/>
      <c r="S415"/>
      <c r="T415"/>
      <c r="U415"/>
      <c r="V415"/>
      <c r="W415"/>
      <c r="X415"/>
      <c r="Y415"/>
      <c r="Z415" s="12"/>
      <c r="AA415" s="12"/>
      <c r="AB415" s="12"/>
      <c r="AC415" s="12"/>
      <c r="AD415" s="12"/>
      <c r="AE415" s="12"/>
      <c r="AF415" s="12"/>
      <c r="AG415" s="12"/>
      <c r="AH415" s="12"/>
      <c r="AI415" s="12"/>
    </row>
    <row r="416" spans="1:35" s="10" customFormat="1" x14ac:dyDescent="0.35">
      <c r="A416" s="12"/>
      <c r="B416" s="12"/>
      <c r="C416" s="12"/>
      <c r="D416"/>
      <c r="E416"/>
      <c r="F416"/>
      <c r="G416"/>
      <c r="H416"/>
      <c r="I416"/>
      <c r="J416"/>
      <c r="K416"/>
      <c r="L416"/>
      <c r="M416"/>
      <c r="N416"/>
      <c r="O416"/>
      <c r="P416"/>
      <c r="Q416"/>
      <c r="R416"/>
      <c r="S416"/>
      <c r="T416"/>
      <c r="U416"/>
      <c r="V416"/>
      <c r="W416"/>
      <c r="X416"/>
      <c r="Y416"/>
      <c r="Z416" s="12"/>
      <c r="AA416" s="12"/>
      <c r="AB416" s="12"/>
      <c r="AC416" s="12"/>
      <c r="AD416" s="12"/>
      <c r="AE416" s="12"/>
      <c r="AF416" s="12"/>
      <c r="AG416" s="12"/>
      <c r="AH416" s="12"/>
      <c r="AI416" s="12"/>
    </row>
    <row r="417" spans="1:35" s="10" customFormat="1" x14ac:dyDescent="0.35">
      <c r="A417" s="12"/>
      <c r="B417" s="12"/>
      <c r="C417" s="12"/>
      <c r="D417"/>
      <c r="E417"/>
      <c r="F417"/>
      <c r="G417"/>
      <c r="H417"/>
      <c r="I417"/>
      <c r="J417"/>
      <c r="K417"/>
      <c r="L417"/>
      <c r="M417"/>
      <c r="N417"/>
      <c r="O417"/>
      <c r="P417"/>
      <c r="Q417"/>
      <c r="R417"/>
      <c r="S417"/>
      <c r="T417"/>
      <c r="U417"/>
      <c r="V417"/>
      <c r="W417"/>
      <c r="X417"/>
      <c r="Y417"/>
      <c r="Z417" s="12"/>
      <c r="AA417" s="12"/>
      <c r="AB417" s="12"/>
      <c r="AC417" s="12"/>
      <c r="AD417" s="12"/>
      <c r="AE417" s="12"/>
      <c r="AF417" s="12"/>
      <c r="AG417" s="12"/>
      <c r="AH417" s="12"/>
      <c r="AI417" s="12"/>
    </row>
    <row r="418" spans="1:35" s="10" customFormat="1" x14ac:dyDescent="0.3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3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3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3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3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3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3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3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3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3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3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3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3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3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3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3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3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3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3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3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3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3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3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3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3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3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3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3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3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3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3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3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3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3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3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3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3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3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3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3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3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3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3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3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3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3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3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3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3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3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3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35">
      <c r="A469" s="12"/>
      <c r="B469" s="12"/>
      <c r="C469" s="12"/>
      <c r="D469"/>
      <c r="E469"/>
      <c r="F469"/>
      <c r="G469" s="3"/>
      <c r="H469" s="3"/>
      <c r="I469" s="3"/>
      <c r="J469" s="3"/>
      <c r="K469"/>
      <c r="L469"/>
      <c r="M469"/>
      <c r="N469" s="3"/>
      <c r="O469" s="3"/>
      <c r="P469" s="3"/>
      <c r="Q469" s="3"/>
      <c r="R469" s="3"/>
      <c r="S469"/>
      <c r="T469"/>
      <c r="U469"/>
      <c r="V469"/>
      <c r="W469" s="12"/>
      <c r="X469" s="12"/>
      <c r="Y469" s="12"/>
      <c r="Z469" s="12"/>
      <c r="AA469" s="12"/>
      <c r="AB469" s="12"/>
      <c r="AC469" s="12"/>
      <c r="AD469" s="12"/>
      <c r="AE469" s="12"/>
      <c r="AF469" s="12"/>
      <c r="AG469" s="12"/>
      <c r="AH469" s="12"/>
      <c r="AI469" s="12"/>
    </row>
    <row r="470" spans="1:35" s="10" customFormat="1" x14ac:dyDescent="0.35">
      <c r="A470" s="12"/>
      <c r="B470" s="12"/>
      <c r="C470" s="12"/>
      <c r="D470"/>
      <c r="E470"/>
      <c r="F470"/>
      <c r="G470" s="3"/>
      <c r="H470" s="3"/>
      <c r="I470" s="3"/>
      <c r="J470" s="3"/>
      <c r="K470"/>
      <c r="L470"/>
      <c r="M470"/>
      <c r="N470" s="3"/>
      <c r="O470" s="3"/>
      <c r="P470" s="3"/>
      <c r="Q470" s="3"/>
      <c r="R470" s="3"/>
      <c r="S470"/>
      <c r="T470"/>
      <c r="U470"/>
      <c r="V470"/>
      <c r="W470" s="12"/>
      <c r="X470" s="12"/>
      <c r="Y470" s="12"/>
      <c r="Z470" s="12"/>
      <c r="AA470" s="12"/>
      <c r="AB470" s="12"/>
      <c r="AC470" s="12"/>
      <c r="AD470" s="12"/>
      <c r="AE470" s="12"/>
      <c r="AF470" s="12"/>
      <c r="AG470" s="12"/>
      <c r="AH470" s="12"/>
      <c r="AI470" s="12"/>
    </row>
    <row r="471" spans="1:35" s="10" customFormat="1" x14ac:dyDescent="0.35">
      <c r="A471" s="12"/>
      <c r="B471" s="12"/>
      <c r="C471" s="12"/>
      <c r="D471"/>
      <c r="E471"/>
      <c r="F471"/>
      <c r="G471" s="3"/>
      <c r="H471" s="3"/>
      <c r="I471" s="3"/>
      <c r="J471" s="3"/>
      <c r="K471"/>
      <c r="L471"/>
      <c r="M471"/>
      <c r="N471" s="3"/>
      <c r="O471" s="3"/>
      <c r="P471" s="3"/>
      <c r="Q471" s="3"/>
      <c r="R471" s="3"/>
      <c r="S471"/>
      <c r="T471"/>
      <c r="U471"/>
      <c r="V471"/>
      <c r="W471" s="12"/>
      <c r="X471" s="12"/>
      <c r="Y471" s="12"/>
      <c r="Z471" s="12"/>
      <c r="AA471" s="12"/>
      <c r="AB471" s="12"/>
      <c r="AC471" s="12"/>
      <c r="AD471" s="12"/>
      <c r="AE471" s="12"/>
      <c r="AF471" s="12"/>
      <c r="AG471" s="12"/>
      <c r="AH471" s="12"/>
      <c r="AI471" s="12"/>
    </row>
    <row r="472" spans="1:35" s="10" customFormat="1" x14ac:dyDescent="0.35">
      <c r="A472" s="12"/>
      <c r="B472" s="12"/>
      <c r="C472" s="12"/>
      <c r="D472"/>
      <c r="E472"/>
      <c r="F472"/>
      <c r="G472" s="3"/>
      <c r="H472" s="3"/>
      <c r="I472" s="3"/>
      <c r="J472" s="3"/>
      <c r="K472"/>
      <c r="L472"/>
      <c r="M472"/>
      <c r="N472" s="3"/>
      <c r="O472" s="3"/>
      <c r="P472" s="3"/>
      <c r="Q472" s="3"/>
      <c r="R472" s="3"/>
      <c r="S472"/>
      <c r="T472"/>
      <c r="U472"/>
      <c r="V472"/>
      <c r="W472" s="12"/>
      <c r="X472" s="12"/>
      <c r="Y472" s="12"/>
      <c r="Z472" s="12"/>
      <c r="AA472" s="12"/>
      <c r="AB472" s="12"/>
      <c r="AC472" s="12"/>
      <c r="AD472" s="12"/>
      <c r="AE472" s="12"/>
      <c r="AF472" s="12"/>
      <c r="AG472" s="12"/>
      <c r="AH472" s="12"/>
      <c r="AI472" s="12"/>
    </row>
    <row r="473" spans="1:35" s="10" customFormat="1" x14ac:dyDescent="0.35">
      <c r="A473" s="12"/>
      <c r="B473" s="12"/>
      <c r="C473" s="12"/>
      <c r="D473"/>
      <c r="E473"/>
      <c r="F473"/>
      <c r="G473" s="3"/>
      <c r="H473" s="3"/>
      <c r="I473" s="3"/>
      <c r="J473" s="3"/>
      <c r="K473"/>
      <c r="L473"/>
      <c r="M473"/>
      <c r="N473" s="3"/>
      <c r="O473" s="3"/>
      <c r="P473" s="3"/>
      <c r="Q473" s="3"/>
      <c r="R473" s="3"/>
      <c r="S473"/>
      <c r="T473"/>
      <c r="U473"/>
      <c r="V473"/>
      <c r="W473" s="12"/>
      <c r="X473" s="12"/>
      <c r="Y473" s="12"/>
      <c r="Z473" s="12"/>
      <c r="AA473" s="12"/>
      <c r="AB473" s="12"/>
      <c r="AC473" s="12"/>
      <c r="AD473" s="12"/>
      <c r="AE473" s="12"/>
      <c r="AF473" s="12"/>
      <c r="AG473" s="12"/>
      <c r="AH473" s="12"/>
      <c r="AI473" s="12"/>
    </row>
    <row r="474" spans="1:35" s="10" customFormat="1" x14ac:dyDescent="0.35">
      <c r="A474" s="12"/>
      <c r="B474" s="12"/>
      <c r="C474" s="12"/>
      <c r="D474"/>
      <c r="E474"/>
      <c r="F474"/>
      <c r="G474" s="3"/>
      <c r="H474" s="3"/>
      <c r="I474" s="3"/>
      <c r="J474" s="3"/>
      <c r="K474"/>
      <c r="L474"/>
      <c r="M474"/>
      <c r="N474" s="3"/>
      <c r="O474" s="3"/>
      <c r="P474" s="3"/>
      <c r="Q474" s="3"/>
      <c r="R474" s="3"/>
      <c r="S474"/>
      <c r="T474"/>
      <c r="U474"/>
      <c r="V474"/>
      <c r="W474" s="12"/>
      <c r="X474" s="12"/>
      <c r="Y474" s="12"/>
      <c r="Z474" s="12"/>
      <c r="AA474" s="12"/>
      <c r="AB474" s="12"/>
      <c r="AC474" s="12"/>
      <c r="AD474" s="12"/>
      <c r="AE474" s="12"/>
      <c r="AF474" s="12"/>
      <c r="AG474" s="12"/>
      <c r="AH474" s="12"/>
      <c r="AI474" s="12"/>
    </row>
    <row r="475" spans="1:35" s="10" customFormat="1" x14ac:dyDescent="0.35">
      <c r="A475" s="12"/>
      <c r="B475" s="12"/>
      <c r="C475" s="12"/>
      <c r="D475"/>
      <c r="E475"/>
      <c r="F475"/>
      <c r="G475" s="3"/>
      <c r="H475" s="3"/>
      <c r="I475" s="3"/>
      <c r="J475" s="3"/>
      <c r="K475"/>
      <c r="L475"/>
      <c r="M475"/>
      <c r="N475" s="3"/>
      <c r="O475" s="3"/>
      <c r="P475" s="3"/>
      <c r="Q475" s="3"/>
      <c r="R475" s="3"/>
      <c r="S475"/>
      <c r="T475"/>
      <c r="U475"/>
      <c r="V475"/>
      <c r="W475" s="12"/>
      <c r="X475" s="12"/>
      <c r="Y475" s="12"/>
      <c r="Z475" s="12"/>
      <c r="AA475" s="12"/>
      <c r="AB475" s="12"/>
      <c r="AC475" s="12"/>
      <c r="AD475" s="12"/>
      <c r="AE475" s="12"/>
      <c r="AF475" s="12"/>
      <c r="AG475" s="12"/>
      <c r="AH475" s="12"/>
      <c r="AI475" s="12"/>
    </row>
    <row r="476" spans="1:35" s="10" customFormat="1" x14ac:dyDescent="0.35">
      <c r="A476" s="12"/>
      <c r="B476" s="12"/>
      <c r="C476" s="12"/>
      <c r="D476"/>
      <c r="E476"/>
      <c r="F476"/>
      <c r="G476" s="3"/>
      <c r="H476" s="3"/>
      <c r="I476" s="3"/>
      <c r="J476" s="3"/>
      <c r="K476"/>
      <c r="L476"/>
      <c r="M476"/>
      <c r="N476" s="3"/>
      <c r="O476" s="3"/>
      <c r="P476" s="3"/>
      <c r="Q476" s="3"/>
      <c r="R476" s="3"/>
      <c r="S476"/>
      <c r="T476"/>
      <c r="U476"/>
      <c r="V476"/>
      <c r="W476" s="12"/>
      <c r="X476" s="12"/>
      <c r="Y476" s="12"/>
      <c r="Z476" s="12"/>
      <c r="AA476" s="12"/>
      <c r="AB476" s="12"/>
      <c r="AC476" s="12"/>
      <c r="AD476" s="12"/>
      <c r="AE476" s="12"/>
      <c r="AF476" s="12"/>
      <c r="AG476" s="12"/>
      <c r="AH476" s="12"/>
      <c r="AI476" s="12"/>
    </row>
    <row r="477" spans="1:35" s="10" customFormat="1" x14ac:dyDescent="0.35">
      <c r="A477" s="12"/>
      <c r="B477" s="12"/>
      <c r="C477" s="12"/>
      <c r="D477" s="15"/>
      <c r="E477"/>
      <c r="F477"/>
      <c r="G477" s="3"/>
      <c r="H477" s="3"/>
      <c r="I477" s="3"/>
      <c r="J477" s="3"/>
      <c r="K477"/>
      <c r="L477"/>
      <c r="M477"/>
      <c r="N477" s="3"/>
      <c r="O477" s="3"/>
      <c r="P477" s="3"/>
      <c r="Q477" s="3"/>
      <c r="R477" s="3"/>
      <c r="S477"/>
      <c r="T477"/>
      <c r="U477" s="12"/>
      <c r="V477" s="12"/>
      <c r="W477" s="12"/>
      <c r="X477" s="12"/>
      <c r="Y477" s="12"/>
      <c r="Z477" s="12"/>
      <c r="AA477" s="12"/>
      <c r="AB477" s="12"/>
      <c r="AC477" s="12"/>
      <c r="AD477" s="12"/>
      <c r="AE477" s="12"/>
      <c r="AF477" s="12"/>
      <c r="AG477" s="12"/>
      <c r="AH477" s="12"/>
      <c r="AI477" s="12"/>
    </row>
    <row r="478" spans="1:35" s="10" customFormat="1" x14ac:dyDescent="0.35">
      <c r="A478" s="12"/>
      <c r="B478" s="12"/>
      <c r="C478" s="12"/>
      <c r="D478" s="15"/>
      <c r="E478"/>
      <c r="F478"/>
      <c r="G478" s="3"/>
      <c r="H478" s="3"/>
      <c r="I478" s="3"/>
      <c r="J478" s="3"/>
      <c r="K478"/>
      <c r="L478"/>
      <c r="M478"/>
      <c r="N478" s="3"/>
      <c r="O478" s="3"/>
      <c r="P478" s="3"/>
      <c r="Q478" s="3"/>
      <c r="R478" s="3"/>
      <c r="S478"/>
      <c r="T478"/>
      <c r="U478" s="12"/>
      <c r="V478" s="12"/>
      <c r="W478" s="12"/>
      <c r="X478" s="12"/>
      <c r="Y478" s="12"/>
      <c r="Z478" s="12"/>
      <c r="AA478" s="12"/>
      <c r="AB478" s="12"/>
      <c r="AC478" s="12"/>
      <c r="AD478" s="12"/>
      <c r="AE478" s="12"/>
      <c r="AF478" s="12"/>
      <c r="AG478" s="12"/>
      <c r="AH478" s="12"/>
      <c r="AI478" s="12"/>
    </row>
    <row r="479" spans="1:35" s="10" customFormat="1" x14ac:dyDescent="0.35">
      <c r="A479" s="12"/>
      <c r="B479" s="12"/>
      <c r="C479" s="12"/>
      <c r="D479" s="15"/>
      <c r="E479"/>
      <c r="F479"/>
      <c r="G479" s="3"/>
      <c r="H479" s="3"/>
      <c r="I479" s="3"/>
      <c r="J479" s="3"/>
      <c r="K479"/>
      <c r="L479"/>
      <c r="M479"/>
      <c r="N479" s="3"/>
      <c r="O479" s="3"/>
      <c r="P479" s="3"/>
      <c r="Q479" s="3"/>
      <c r="R479" s="3"/>
      <c r="S479"/>
      <c r="T479"/>
      <c r="U479" s="12"/>
      <c r="V479" s="12"/>
      <c r="W479" s="12"/>
      <c r="X479" s="12"/>
      <c r="Y479" s="12"/>
      <c r="Z479" s="12"/>
      <c r="AA479" s="12"/>
      <c r="AB479" s="12"/>
      <c r="AC479" s="12"/>
      <c r="AD479" s="12"/>
      <c r="AE479" s="12"/>
      <c r="AF479" s="12"/>
      <c r="AG479" s="12"/>
      <c r="AH479" s="12"/>
      <c r="AI479" s="12"/>
    </row>
    <row r="480" spans="1:35" s="10" customFormat="1" x14ac:dyDescent="0.35">
      <c r="A480" s="12"/>
      <c r="B480" s="12"/>
      <c r="C480" s="12"/>
      <c r="D480" s="12"/>
      <c r="E480"/>
      <c r="F480"/>
      <c r="G480" s="3"/>
      <c r="H480" s="3"/>
      <c r="I480" s="3"/>
      <c r="J480" s="3"/>
      <c r="K480"/>
      <c r="L480"/>
      <c r="M480"/>
      <c r="N480" s="3"/>
      <c r="O480" s="3"/>
      <c r="P480" s="3"/>
      <c r="Q480" s="3"/>
      <c r="R480" s="3"/>
      <c r="S480"/>
      <c r="T480"/>
      <c r="U480" s="12"/>
      <c r="V480" s="12"/>
      <c r="W480" s="12"/>
      <c r="X480" s="12"/>
      <c r="Y480" s="12"/>
      <c r="Z480" s="12"/>
      <c r="AA480" s="12"/>
      <c r="AB480" s="12"/>
      <c r="AC480" s="12"/>
      <c r="AD480" s="12"/>
      <c r="AE480" s="12"/>
      <c r="AF480" s="12"/>
      <c r="AG480" s="12"/>
      <c r="AH480" s="12"/>
      <c r="AI480" s="12"/>
    </row>
    <row r="481" spans="1:35" s="10" customFormat="1" x14ac:dyDescent="0.35">
      <c r="A481" s="12"/>
      <c r="B481" s="12"/>
      <c r="C481" s="12"/>
      <c r="D481" s="12"/>
      <c r="E481"/>
      <c r="F481"/>
      <c r="G481" s="3"/>
      <c r="H481" s="3"/>
      <c r="I481" s="3"/>
      <c r="J481" s="3"/>
      <c r="K481"/>
      <c r="L481"/>
      <c r="M481"/>
      <c r="N481" s="3"/>
      <c r="O481" s="3"/>
      <c r="P481" s="3"/>
      <c r="Q481" s="3"/>
      <c r="R481" s="3"/>
      <c r="S481"/>
      <c r="T481"/>
      <c r="U481" s="12"/>
      <c r="V481" s="12"/>
      <c r="W481" s="12"/>
      <c r="X481" s="12"/>
      <c r="Y481" s="12"/>
      <c r="Z481" s="12"/>
      <c r="AA481" s="12"/>
      <c r="AB481" s="12"/>
      <c r="AC481" s="12"/>
      <c r="AD481" s="12"/>
      <c r="AE481" s="12"/>
      <c r="AF481" s="12"/>
      <c r="AG481" s="12"/>
      <c r="AH481" s="12"/>
      <c r="AI481" s="12"/>
    </row>
    <row r="482" spans="1:35" s="10" customFormat="1" x14ac:dyDescent="0.3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3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3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3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3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3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3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3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3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3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3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3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3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3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3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3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3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3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3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3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3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3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3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3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3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3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3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3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3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3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35">
      <c r="A512" s="12"/>
      <c r="B512" s="12"/>
      <c r="C512" s="12"/>
      <c r="D512" s="12"/>
      <c r="E512" s="12"/>
      <c r="G512" s="14"/>
      <c r="H512" s="17"/>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35">
      <c r="A513" s="12"/>
      <c r="B513" s="12"/>
      <c r="C513" s="12"/>
      <c r="D513" s="12"/>
      <c r="E513" s="12"/>
      <c r="G513" s="14"/>
      <c r="H513" s="17"/>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35">
      <c r="A514" s="12"/>
      <c r="B514" s="12"/>
      <c r="C514" s="12"/>
      <c r="D514" s="12"/>
      <c r="E514" s="12"/>
      <c r="G514" s="14"/>
      <c r="H514" s="17"/>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35">
      <c r="A515" s="12"/>
      <c r="B515" s="12"/>
      <c r="C515" s="12"/>
      <c r="D515" s="12"/>
      <c r="E515" s="12"/>
      <c r="G515" s="14"/>
      <c r="H515" s="17"/>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35">
      <c r="A516" s="12"/>
      <c r="B516" s="12"/>
      <c r="C516" s="12"/>
      <c r="D516" s="12"/>
      <c r="E516" s="12"/>
      <c r="G516" s="14"/>
      <c r="H516" s="17"/>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35">
      <c r="A517" s="12"/>
      <c r="B517" s="12"/>
      <c r="C517" s="12"/>
      <c r="D517" s="12"/>
      <c r="E517" s="12"/>
      <c r="G517" s="14"/>
      <c r="H517" s="17"/>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35">
      <c r="A518" s="12"/>
      <c r="B518" s="12"/>
      <c r="C518" s="12"/>
      <c r="D518" s="12"/>
      <c r="E518" s="12"/>
      <c r="G518" s="14"/>
      <c r="H518" s="17"/>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35">
      <c r="A519" s="12"/>
      <c r="B519" s="12"/>
      <c r="C519" s="12"/>
      <c r="D519" s="12"/>
      <c r="E519" s="12"/>
      <c r="G519" s="14"/>
      <c r="H519" s="17"/>
      <c r="I519" s="14"/>
      <c r="M519" s="12"/>
      <c r="T519" s="12"/>
      <c r="U519" s="12"/>
      <c r="V519" s="12"/>
      <c r="W519" s="12"/>
      <c r="X519" s="12"/>
      <c r="Y519" s="12"/>
      <c r="Z519" s="12"/>
      <c r="AA519" s="12"/>
      <c r="AB519" s="12"/>
      <c r="AC519" s="12"/>
      <c r="AD519" s="12"/>
      <c r="AE519" s="12"/>
      <c r="AF519" s="12"/>
      <c r="AG519" s="12"/>
      <c r="AH519" s="12"/>
      <c r="AI519" s="12"/>
    </row>
    <row r="523" spans="1:35" s="10" customFormat="1" x14ac:dyDescent="0.3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3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3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3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3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3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3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3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3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3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3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3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3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3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3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3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3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3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3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3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3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3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3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3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3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3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3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3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3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3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3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3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3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3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3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3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3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3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3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3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3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3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3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3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3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3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3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3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3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3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3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3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3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3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3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3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3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3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3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3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3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3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3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3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3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3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3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3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3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3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3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3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3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3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3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3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3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3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3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3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3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3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3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3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3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3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3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3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3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3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3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3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3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3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3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3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3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3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3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3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3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3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3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3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3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3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3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3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3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3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3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3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3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3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3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3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3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3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3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3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3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3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3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3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3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3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3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3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3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3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3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3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3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3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3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3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3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3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3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3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3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3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3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3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3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3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3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3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3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3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3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3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3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3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3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3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3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3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3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3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3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3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3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3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3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3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3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3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3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3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3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3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3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3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3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3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3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3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3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3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3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3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3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3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3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3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3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3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3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3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3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3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3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3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3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3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3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3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3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3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3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3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3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3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3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3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3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3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3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3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3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3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3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3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3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3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3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3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3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3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3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3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3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3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3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3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3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3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3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3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3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3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3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3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3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3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3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3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3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3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3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3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3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3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3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3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3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3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3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3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3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3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3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3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3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3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3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3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3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3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3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3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3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3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3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3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3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3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3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3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3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3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3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3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3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3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3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3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3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3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3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3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3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3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3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3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3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3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3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3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3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3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3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3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3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3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3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3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3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3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3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3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3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3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3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3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3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3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3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3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3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3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3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3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3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3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3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3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3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3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3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3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3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3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3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3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3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3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3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3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3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3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3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3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3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3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3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3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3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3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3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3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3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3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3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3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3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3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3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3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3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3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3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3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3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81" spans="1:35" s="10" customFormat="1" x14ac:dyDescent="0.3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3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3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3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3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3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3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3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3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3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3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3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3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3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3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3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3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3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3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3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3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3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3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3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3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3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3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3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3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3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3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3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3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3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3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3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3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3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3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3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3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3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3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3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3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3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3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3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3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3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3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3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3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3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3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3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3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3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3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3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3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3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3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3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3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3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3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3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3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3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3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3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3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3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3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3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3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3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3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3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3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3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3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3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3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3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3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3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3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3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3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3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3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3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3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3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3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3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3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3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3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3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3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3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3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3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3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3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3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3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3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3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3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3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3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3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3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3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3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3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3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3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3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3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3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3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3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3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3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3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3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3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3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3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3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3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3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3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3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3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3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3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3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3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3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3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3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3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3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3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3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3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3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3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3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3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3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3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3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3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3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3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3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3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3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3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3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3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3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3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3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3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3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3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3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3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3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3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3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3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3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3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3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3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3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3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3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3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3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3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3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3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3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3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3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3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3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3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3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3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3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3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3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3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3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3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3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3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3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3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3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3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3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3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3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3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3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3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3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3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3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3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3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3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3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3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3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3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3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3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3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3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3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3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3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3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3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3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3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3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3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3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3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3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3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3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3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3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3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3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3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3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3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3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3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3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3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3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3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3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3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3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3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3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3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3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3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3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3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3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3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3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3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3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3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3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3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3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3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3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3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3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3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3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3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3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3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3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3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3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3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3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3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3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3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3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3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3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3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3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3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3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3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3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3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3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3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3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3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3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3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3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3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3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3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3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3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3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3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3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3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3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3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3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3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3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3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3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3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3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3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3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3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3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3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3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3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3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3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3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3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3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3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3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3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3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3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3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3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3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3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3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3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3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3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3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3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3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3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3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3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3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3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3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3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3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3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3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3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3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3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3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3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3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3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3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3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3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3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3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3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3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3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3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3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3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3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3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3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3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3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3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3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3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3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3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3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3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3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3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3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3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3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3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3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3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3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3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3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3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3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3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3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3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3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3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3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3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3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3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3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3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3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3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3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3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3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3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3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3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3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3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3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3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3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3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3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3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3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3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3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3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3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3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3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3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3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3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3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3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3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3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3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3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3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3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3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3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3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3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3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3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row r="1343" spans="1:35" s="10" customFormat="1" x14ac:dyDescent="0.35">
      <c r="A1343" s="12"/>
      <c r="B1343" s="12"/>
      <c r="C1343" s="12"/>
      <c r="D1343" s="12"/>
      <c r="E1343" s="12"/>
      <c r="I1343" s="14"/>
      <c r="M1343" s="12"/>
      <c r="T1343" s="12"/>
      <c r="U1343" s="12"/>
      <c r="V1343" s="12"/>
      <c r="W1343" s="12"/>
      <c r="X1343" s="12"/>
      <c r="Y1343" s="12"/>
      <c r="Z1343" s="12"/>
      <c r="AA1343" s="12"/>
      <c r="AB1343" s="12"/>
      <c r="AC1343" s="12"/>
      <c r="AD1343" s="12"/>
      <c r="AE1343" s="12"/>
      <c r="AF1343" s="12"/>
      <c r="AG1343" s="12"/>
      <c r="AH1343" s="12"/>
      <c r="AI1343" s="12"/>
    </row>
    <row r="1344" spans="1:35" s="10" customFormat="1" x14ac:dyDescent="0.35">
      <c r="A1344" s="12"/>
      <c r="B1344" s="12"/>
      <c r="C1344" s="12"/>
      <c r="D1344" s="12"/>
      <c r="E1344" s="12"/>
      <c r="I1344" s="14"/>
      <c r="M1344" s="12"/>
      <c r="T1344" s="12"/>
      <c r="U1344" s="12"/>
      <c r="V1344" s="12"/>
      <c r="W1344" s="12"/>
      <c r="X1344" s="12"/>
      <c r="Y1344" s="12"/>
      <c r="Z1344" s="12"/>
      <c r="AA1344" s="12"/>
      <c r="AB1344" s="12"/>
      <c r="AC1344" s="12"/>
      <c r="AD1344" s="12"/>
      <c r="AE1344" s="12"/>
      <c r="AF1344" s="12"/>
      <c r="AG1344" s="12"/>
      <c r="AH1344" s="12"/>
      <c r="AI1344" s="12"/>
    </row>
    <row r="1345" spans="1:35" s="10" customFormat="1" x14ac:dyDescent="0.35">
      <c r="A1345" s="12"/>
      <c r="B1345" s="12"/>
      <c r="C1345" s="12"/>
      <c r="D1345" s="12"/>
      <c r="E1345" s="12"/>
      <c r="I1345" s="14"/>
      <c r="M1345" s="12"/>
      <c r="T1345" s="12"/>
      <c r="U1345" s="12"/>
      <c r="V1345" s="12"/>
      <c r="W1345" s="12"/>
      <c r="X1345" s="12"/>
      <c r="Y1345" s="12"/>
      <c r="Z1345" s="12"/>
      <c r="AA1345" s="12"/>
      <c r="AB1345" s="12"/>
      <c r="AC1345" s="12"/>
      <c r="AD1345" s="12"/>
      <c r="AE1345" s="12"/>
      <c r="AF1345" s="12"/>
      <c r="AG1345" s="12"/>
      <c r="AH1345" s="12"/>
      <c r="AI1345" s="12"/>
    </row>
    <row r="1346" spans="1:35" s="10" customFormat="1" x14ac:dyDescent="0.35">
      <c r="A1346" s="12"/>
      <c r="B1346" s="12"/>
      <c r="C1346" s="12"/>
      <c r="D1346" s="12"/>
      <c r="E1346" s="12"/>
      <c r="I1346" s="14"/>
      <c r="M1346" s="12"/>
      <c r="T1346" s="12"/>
      <c r="U1346" s="12"/>
      <c r="V1346" s="12"/>
      <c r="W1346" s="12"/>
      <c r="X1346" s="12"/>
      <c r="Y1346" s="12"/>
      <c r="Z1346" s="12"/>
      <c r="AA1346" s="12"/>
      <c r="AB1346" s="12"/>
      <c r="AC1346" s="12"/>
      <c r="AD1346" s="12"/>
      <c r="AE1346" s="12"/>
      <c r="AF1346" s="12"/>
      <c r="AG1346" s="12"/>
      <c r="AH1346" s="12"/>
      <c r="AI1346" s="12"/>
    </row>
    <row r="1347" spans="1:35" s="10" customFormat="1" x14ac:dyDescent="0.35">
      <c r="A1347" s="12"/>
      <c r="B1347" s="12"/>
      <c r="C1347" s="12"/>
      <c r="D1347" s="12"/>
      <c r="E1347" s="12"/>
      <c r="I1347" s="14"/>
      <c r="M1347" s="12"/>
      <c r="T1347" s="12"/>
      <c r="U1347" s="12"/>
      <c r="V1347" s="12"/>
      <c r="W1347" s="12"/>
      <c r="X1347" s="12"/>
      <c r="Y1347" s="12"/>
      <c r="Z1347" s="12"/>
      <c r="AA1347" s="12"/>
      <c r="AB1347" s="12"/>
      <c r="AC1347" s="12"/>
      <c r="AD1347" s="12"/>
      <c r="AE1347" s="12"/>
      <c r="AF1347" s="12"/>
      <c r="AG1347" s="12"/>
      <c r="AH1347" s="12"/>
      <c r="AI1347" s="12"/>
    </row>
    <row r="1348" spans="1:35" s="10" customFormat="1" x14ac:dyDescent="0.35">
      <c r="A1348" s="12"/>
      <c r="B1348" s="12"/>
      <c r="C1348" s="12"/>
      <c r="D1348" s="12"/>
      <c r="E1348" s="12"/>
      <c r="I1348" s="14"/>
      <c r="M1348" s="12"/>
      <c r="T1348" s="12"/>
      <c r="U1348" s="12"/>
      <c r="V1348" s="12"/>
      <c r="W1348" s="12"/>
      <c r="X1348" s="12"/>
      <c r="Y1348" s="12"/>
      <c r="Z1348" s="12"/>
      <c r="AA1348" s="12"/>
      <c r="AB1348" s="12"/>
      <c r="AC1348" s="12"/>
      <c r="AD1348" s="12"/>
      <c r="AE1348" s="12"/>
      <c r="AF1348" s="12"/>
      <c r="AG1348" s="12"/>
      <c r="AH1348" s="12"/>
      <c r="AI1348" s="12"/>
    </row>
    <row r="1349" spans="1:35" s="10" customFormat="1" x14ac:dyDescent="0.35">
      <c r="A1349" s="12"/>
      <c r="B1349" s="12"/>
      <c r="C1349" s="12"/>
      <c r="D1349" s="12"/>
      <c r="E1349" s="12"/>
      <c r="I1349" s="14"/>
      <c r="M1349" s="12"/>
      <c r="T1349" s="12"/>
      <c r="U1349" s="12"/>
      <c r="V1349" s="12"/>
      <c r="W1349" s="12"/>
      <c r="X1349" s="12"/>
      <c r="Y1349" s="12"/>
      <c r="Z1349" s="12"/>
      <c r="AA1349" s="12"/>
      <c r="AB1349" s="12"/>
      <c r="AC1349" s="12"/>
      <c r="AD1349" s="12"/>
      <c r="AE1349" s="12"/>
      <c r="AF1349" s="12"/>
      <c r="AG1349" s="12"/>
      <c r="AH1349" s="12"/>
      <c r="AI1349" s="12"/>
    </row>
    <row r="1350" spans="1:35" s="10" customFormat="1" x14ac:dyDescent="0.35">
      <c r="A1350" s="12"/>
      <c r="B1350" s="12"/>
      <c r="C1350" s="12"/>
      <c r="D1350" s="12"/>
      <c r="E1350" s="12"/>
      <c r="I1350" s="14"/>
      <c r="M1350" s="12"/>
      <c r="T1350" s="12"/>
      <c r="U1350" s="12"/>
      <c r="V1350" s="12"/>
      <c r="W1350" s="12"/>
      <c r="X1350" s="12"/>
      <c r="Y1350" s="12"/>
      <c r="Z1350" s="12"/>
      <c r="AA1350" s="12"/>
      <c r="AB1350" s="12"/>
      <c r="AC1350" s="12"/>
      <c r="AD1350" s="12"/>
      <c r="AE1350" s="12"/>
      <c r="AF1350" s="12"/>
      <c r="AG1350" s="12"/>
      <c r="AH1350" s="12"/>
      <c r="AI1350"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10</xdr:col>
                <xdr:colOff>781050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10</xdr:col>
                <xdr:colOff>711200</xdr:colOff>
                <xdr:row>3</xdr:row>
                <xdr:rowOff>31750</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336550</xdr:colOff>
                <xdr:row>7</xdr:row>
                <xdr:rowOff>12700</xdr:rowOff>
              </from>
              <to>
                <xdr:col>10</xdr:col>
                <xdr:colOff>711200</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336550</xdr:colOff>
                <xdr:row>9</xdr:row>
                <xdr:rowOff>12700</xdr:rowOff>
              </from>
              <to>
                <xdr:col>10</xdr:col>
                <xdr:colOff>711200</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7" sqref="F17"/>
    </sheetView>
  </sheetViews>
  <sheetFormatPr defaultRowHeight="14.5" x14ac:dyDescent="0.35"/>
  <cols>
    <col min="2" max="2" width="9.54296875" customWidth="1"/>
    <col min="3" max="3" width="11.54296875" style="3" customWidth="1"/>
    <col min="4" max="4" width="12.54296875" customWidth="1"/>
    <col min="5" max="5" width="22.81640625" customWidth="1"/>
    <col min="6" max="6" width="83.26953125" customWidth="1"/>
    <col min="10" max="10" width="18.54296875" bestFit="1" customWidth="1"/>
  </cols>
  <sheetData>
    <row r="5" spans="3:6" ht="21" x14ac:dyDescent="0.5">
      <c r="C5" s="1" t="s">
        <v>38</v>
      </c>
      <c r="D5" s="3"/>
    </row>
    <row r="6" spans="3:6" x14ac:dyDescent="0.35">
      <c r="D6" s="2"/>
    </row>
    <row r="7" spans="3:6" x14ac:dyDescent="0.35">
      <c r="D7" s="2"/>
    </row>
    <row r="8" spans="3:6" x14ac:dyDescent="0.35">
      <c r="D8" s="2"/>
    </row>
    <row r="9" spans="3:6" x14ac:dyDescent="0.35">
      <c r="D9" s="2"/>
    </row>
    <row r="10" spans="3:6" ht="15.5" x14ac:dyDescent="0.35">
      <c r="C10" s="4" t="s">
        <v>29</v>
      </c>
      <c r="D10" s="4" t="s">
        <v>3</v>
      </c>
      <c r="E10" s="4" t="s">
        <v>2</v>
      </c>
      <c r="F10" s="4" t="s">
        <v>4</v>
      </c>
    </row>
    <row r="11" spans="3:6" x14ac:dyDescent="0.35">
      <c r="C11" t="s">
        <v>32</v>
      </c>
      <c r="D11" s="3">
        <v>0</v>
      </c>
      <c r="E11" t="s">
        <v>23</v>
      </c>
      <c r="F11" t="s">
        <v>26</v>
      </c>
    </row>
    <row r="12" spans="3:6" x14ac:dyDescent="0.35">
      <c r="C12" t="s">
        <v>30</v>
      </c>
      <c r="D12" s="3">
        <v>1</v>
      </c>
      <c r="E12" t="s">
        <v>24</v>
      </c>
      <c r="F12" t="s">
        <v>27</v>
      </c>
    </row>
    <row r="13" spans="3:6" x14ac:dyDescent="0.35">
      <c r="C13" t="s">
        <v>31</v>
      </c>
      <c r="D13" s="3">
        <v>2</v>
      </c>
      <c r="E13" t="s">
        <v>25</v>
      </c>
      <c r="F13" t="s">
        <v>28</v>
      </c>
    </row>
    <row r="14" spans="3:6" x14ac:dyDescent="0.35">
      <c r="C14" t="s">
        <v>206</v>
      </c>
      <c r="D14" s="3">
        <v>3</v>
      </c>
      <c r="E14" t="s">
        <v>207</v>
      </c>
      <c r="F14" t="s">
        <v>208</v>
      </c>
    </row>
    <row r="15" spans="3:6" x14ac:dyDescent="0.35">
      <c r="C15" t="s">
        <v>204</v>
      </c>
      <c r="D15" s="3">
        <v>4</v>
      </c>
      <c r="E15" t="s">
        <v>205</v>
      </c>
      <c r="F15" t="s">
        <v>209</v>
      </c>
    </row>
    <row r="16" spans="3:6" x14ac:dyDescent="0.35">
      <c r="C16" t="s">
        <v>210</v>
      </c>
      <c r="D16" s="3">
        <v>5</v>
      </c>
      <c r="E16" t="s">
        <v>211</v>
      </c>
      <c r="F16" t="s">
        <v>212</v>
      </c>
    </row>
    <row r="17" spans="3:4" x14ac:dyDescent="0.35">
      <c r="C17"/>
      <c r="D17" s="3">
        <v>6</v>
      </c>
    </row>
    <row r="18" spans="3:4" x14ac:dyDescent="0.35">
      <c r="C18" s="2"/>
      <c r="D18" s="3">
        <v>7</v>
      </c>
    </row>
    <row r="19" spans="3:4" x14ac:dyDescent="0.35">
      <c r="C19"/>
      <c r="D19" s="3">
        <v>8</v>
      </c>
    </row>
    <row r="20" spans="3:4" x14ac:dyDescent="0.35">
      <c r="C20"/>
      <c r="D20" s="3">
        <v>9</v>
      </c>
    </row>
    <row r="21" spans="3:4" x14ac:dyDescent="0.35">
      <c r="D21" s="3">
        <v>10</v>
      </c>
    </row>
    <row r="22" spans="3:4" x14ac:dyDescent="0.35">
      <c r="D22" s="3">
        <v>11</v>
      </c>
    </row>
    <row r="23" spans="3:4" x14ac:dyDescent="0.35">
      <c r="C23"/>
      <c r="D23" s="3">
        <v>12</v>
      </c>
    </row>
    <row r="24" spans="3:4" x14ac:dyDescent="0.35">
      <c r="C24" s="2"/>
      <c r="D24" s="3">
        <v>13</v>
      </c>
    </row>
    <row r="25" spans="3:4" x14ac:dyDescent="0.35">
      <c r="D25" s="3">
        <v>14</v>
      </c>
    </row>
    <row r="26" spans="3:4" x14ac:dyDescent="0.35">
      <c r="C26"/>
      <c r="D26" s="3">
        <v>15</v>
      </c>
    </row>
    <row r="27" spans="3:4" x14ac:dyDescent="0.35">
      <c r="C27"/>
      <c r="D27" s="3">
        <v>16</v>
      </c>
    </row>
    <row r="28" spans="3:4" x14ac:dyDescent="0.35">
      <c r="C28"/>
      <c r="D28" s="3">
        <v>17</v>
      </c>
    </row>
    <row r="29" spans="3:4" x14ac:dyDescent="0.35">
      <c r="C29"/>
      <c r="D29" s="3">
        <v>18</v>
      </c>
    </row>
    <row r="30" spans="3:4" x14ac:dyDescent="0.35">
      <c r="C30"/>
      <c r="D30" s="3">
        <v>19</v>
      </c>
    </row>
    <row r="31" spans="3:4" x14ac:dyDescent="0.35">
      <c r="C31"/>
      <c r="D31" s="3">
        <v>20</v>
      </c>
    </row>
    <row r="32" spans="3:4" x14ac:dyDescent="0.35">
      <c r="C32"/>
      <c r="D32" s="3">
        <v>21</v>
      </c>
    </row>
    <row r="33" spans="3:4" x14ac:dyDescent="0.35">
      <c r="C33"/>
      <c r="D33" s="3">
        <v>22</v>
      </c>
    </row>
    <row r="34" spans="3:4" x14ac:dyDescent="0.35">
      <c r="C34"/>
      <c r="D34" s="3">
        <v>23</v>
      </c>
    </row>
    <row r="35" spans="3:4" x14ac:dyDescent="0.35">
      <c r="C35"/>
      <c r="D35" s="3">
        <v>24</v>
      </c>
    </row>
    <row r="36" spans="3:4" x14ac:dyDescent="0.35">
      <c r="C36" s="2"/>
      <c r="D36" s="3">
        <v>25</v>
      </c>
    </row>
    <row r="37" spans="3:4" x14ac:dyDescent="0.35">
      <c r="C37"/>
      <c r="D37" s="3"/>
    </row>
    <row r="38" spans="3:4" x14ac:dyDescent="0.35">
      <c r="C38"/>
      <c r="D38" s="3"/>
    </row>
    <row r="39" spans="3:4" x14ac:dyDescent="0.35">
      <c r="C39"/>
      <c r="D39" s="3"/>
    </row>
    <row r="40" spans="3:4" x14ac:dyDescent="0.35">
      <c r="C40"/>
      <c r="D40" s="3"/>
    </row>
    <row r="41" spans="3:4" x14ac:dyDescent="0.35">
      <c r="C41"/>
      <c r="D41" s="3"/>
    </row>
    <row r="45" spans="3:4" ht="21" x14ac:dyDescent="0.5">
      <c r="C45" s="1" t="s">
        <v>53</v>
      </c>
      <c r="D45" s="3"/>
    </row>
    <row r="46" spans="3:4" x14ac:dyDescent="0.35">
      <c r="D46" s="2"/>
    </row>
    <row r="47" spans="3:4" x14ac:dyDescent="0.35">
      <c r="D47" s="2"/>
    </row>
    <row r="48" spans="3:4" x14ac:dyDescent="0.35">
      <c r="D48" s="2"/>
    </row>
    <row r="49" spans="3:6" x14ac:dyDescent="0.35">
      <c r="D49" s="2"/>
    </row>
    <row r="50" spans="3:6" ht="15.5" x14ac:dyDescent="0.35">
      <c r="C50" s="4" t="s">
        <v>29</v>
      </c>
      <c r="D50" s="4" t="s">
        <v>3</v>
      </c>
      <c r="E50" s="4" t="s">
        <v>2</v>
      </c>
      <c r="F50" s="4" t="s">
        <v>4</v>
      </c>
    </row>
    <row r="51" spans="3:6" x14ac:dyDescent="0.35">
      <c r="C51" t="s">
        <v>44</v>
      </c>
      <c r="D51" s="5">
        <v>0</v>
      </c>
      <c r="E51" t="s">
        <v>54</v>
      </c>
      <c r="F51" t="s">
        <v>90</v>
      </c>
    </row>
    <row r="52" spans="3:6" x14ac:dyDescent="0.35">
      <c r="C52" t="s">
        <v>48</v>
      </c>
      <c r="D52" s="5">
        <v>1</v>
      </c>
      <c r="E52" t="s">
        <v>55</v>
      </c>
      <c r="F52" t="s">
        <v>91</v>
      </c>
    </row>
    <row r="53" spans="3:6" x14ac:dyDescent="0.35">
      <c r="C53" t="s">
        <v>49</v>
      </c>
      <c r="D53" s="5">
        <v>2</v>
      </c>
      <c r="E53" t="s">
        <v>56</v>
      </c>
      <c r="F53" t="s">
        <v>98</v>
      </c>
    </row>
    <row r="54" spans="3:6" x14ac:dyDescent="0.35">
      <c r="C54" t="s">
        <v>116</v>
      </c>
      <c r="D54" s="5">
        <v>3</v>
      </c>
      <c r="E54" t="s">
        <v>57</v>
      </c>
      <c r="F54" t="s">
        <v>99</v>
      </c>
    </row>
    <row r="55" spans="3:6" x14ac:dyDescent="0.35">
      <c r="C55" t="s">
        <v>114</v>
      </c>
      <c r="D55" s="5">
        <v>5</v>
      </c>
      <c r="E55" t="s">
        <v>115</v>
      </c>
      <c r="F55" t="s">
        <v>120</v>
      </c>
    </row>
    <row r="56" spans="3:6" x14ac:dyDescent="0.35">
      <c r="C56"/>
      <c r="D56" s="7" t="s">
        <v>88</v>
      </c>
      <c r="E56" t="s">
        <v>89</v>
      </c>
      <c r="F56" t="s">
        <v>52</v>
      </c>
    </row>
    <row r="57" spans="3:6" x14ac:dyDescent="0.35">
      <c r="C57"/>
      <c r="D57" s="5"/>
    </row>
    <row r="58" spans="3:6" x14ac:dyDescent="0.35">
      <c r="C58"/>
      <c r="D58" s="5"/>
    </row>
    <row r="59" spans="3:6" x14ac:dyDescent="0.35">
      <c r="C59"/>
    </row>
    <row r="60" spans="3:6" x14ac:dyDescent="0.35">
      <c r="C60"/>
    </row>
    <row r="61" spans="3:6" x14ac:dyDescent="0.35">
      <c r="C61"/>
    </row>
    <row r="62" spans="3:6" x14ac:dyDescent="0.35">
      <c r="C62"/>
    </row>
    <row r="63" spans="3:6" ht="21" x14ac:dyDescent="0.5">
      <c r="C63" s="1" t="s">
        <v>58</v>
      </c>
      <c r="D63" s="3"/>
    </row>
    <row r="64" spans="3:6" x14ac:dyDescent="0.35">
      <c r="D64" s="2"/>
    </row>
    <row r="65" spans="3:6" x14ac:dyDescent="0.35">
      <c r="D65" s="2"/>
    </row>
    <row r="66" spans="3:6" x14ac:dyDescent="0.35">
      <c r="D66" s="2"/>
    </row>
    <row r="67" spans="3:6" x14ac:dyDescent="0.35">
      <c r="D67" s="2"/>
    </row>
    <row r="68" spans="3:6" ht="15.5" x14ac:dyDescent="0.35">
      <c r="C68" s="4" t="s">
        <v>29</v>
      </c>
      <c r="D68" s="4" t="s">
        <v>3</v>
      </c>
      <c r="E68" s="4" t="s">
        <v>2</v>
      </c>
      <c r="F68" s="4" t="s">
        <v>4</v>
      </c>
    </row>
    <row r="69" spans="3:6" x14ac:dyDescent="0.35">
      <c r="C69" t="s">
        <v>45</v>
      </c>
      <c r="D69" s="3">
        <v>0</v>
      </c>
      <c r="E69" t="s">
        <v>59</v>
      </c>
      <c r="F69" t="s">
        <v>92</v>
      </c>
    </row>
    <row r="70" spans="3:6" x14ac:dyDescent="0.35">
      <c r="C70" t="s">
        <v>51</v>
      </c>
      <c r="D70" s="3">
        <v>1</v>
      </c>
      <c r="E70" t="s">
        <v>60</v>
      </c>
      <c r="F70" t="s">
        <v>93</v>
      </c>
    </row>
    <row r="71" spans="3:6" x14ac:dyDescent="0.35">
      <c r="C71" t="s">
        <v>50</v>
      </c>
      <c r="D71" s="3">
        <v>2</v>
      </c>
      <c r="E71" t="s">
        <v>61</v>
      </c>
      <c r="F71" t="s">
        <v>94</v>
      </c>
    </row>
    <row r="72" spans="3:6" x14ac:dyDescent="0.35">
      <c r="C72" t="s">
        <v>47</v>
      </c>
      <c r="D72" s="3">
        <v>3</v>
      </c>
      <c r="E72" t="s">
        <v>62</v>
      </c>
      <c r="F72" t="s">
        <v>95</v>
      </c>
    </row>
    <row r="73" spans="3:6" x14ac:dyDescent="0.35">
      <c r="C73" t="s">
        <v>131</v>
      </c>
      <c r="D73" s="3">
        <v>3</v>
      </c>
      <c r="E73" t="s">
        <v>132</v>
      </c>
      <c r="F73" t="s">
        <v>133</v>
      </c>
    </row>
    <row r="74" spans="3:6" x14ac:dyDescent="0.35">
      <c r="C74"/>
      <c r="D74" s="6" t="s">
        <v>96</v>
      </c>
      <c r="E74" t="s">
        <v>89</v>
      </c>
      <c r="F74" t="s">
        <v>52</v>
      </c>
    </row>
    <row r="75" spans="3:6" x14ac:dyDescent="0.35">
      <c r="C75"/>
      <c r="D75" s="3"/>
    </row>
    <row r="76" spans="3:6" x14ac:dyDescent="0.35">
      <c r="C76"/>
      <c r="D76" s="3"/>
    </row>
    <row r="77" spans="3:6" x14ac:dyDescent="0.35">
      <c r="C77"/>
    </row>
    <row r="78" spans="3:6" x14ac:dyDescent="0.35">
      <c r="C78"/>
    </row>
    <row r="79" spans="3:6" x14ac:dyDescent="0.35">
      <c r="C79"/>
    </row>
    <row r="80" spans="3:6" x14ac:dyDescent="0.35">
      <c r="C80"/>
    </row>
    <row r="81" spans="3:6" ht="21" x14ac:dyDescent="0.5">
      <c r="C81" s="1"/>
      <c r="D81" s="3"/>
    </row>
    <row r="82" spans="3:6" x14ac:dyDescent="0.35">
      <c r="D82" s="2"/>
    </row>
    <row r="83" spans="3:6" x14ac:dyDescent="0.35">
      <c r="D83" s="2"/>
    </row>
    <row r="84" spans="3:6" x14ac:dyDescent="0.35">
      <c r="D84" s="2"/>
    </row>
    <row r="85" spans="3:6" x14ac:dyDescent="0.35">
      <c r="D85" s="2"/>
    </row>
    <row r="86" spans="3:6" ht="15.5" x14ac:dyDescent="0.35">
      <c r="C86" s="4"/>
      <c r="D86" s="4"/>
      <c r="E86" s="4"/>
      <c r="F86" s="4"/>
    </row>
    <row r="87" spans="3:6" x14ac:dyDescent="0.35">
      <c r="C87" s="5"/>
      <c r="D87" s="5"/>
    </row>
    <row r="88" spans="3:6" x14ac:dyDescent="0.35">
      <c r="C88" s="5"/>
      <c r="D88" s="5"/>
    </row>
    <row r="89" spans="3:6" x14ac:dyDescent="0.35">
      <c r="C89" s="5"/>
      <c r="D89" s="5"/>
    </row>
    <row r="90" spans="3:6" x14ac:dyDescent="0.35">
      <c r="C90" s="5"/>
      <c r="D90" s="5"/>
    </row>
    <row r="91" spans="3:6" x14ac:dyDescent="0.35">
      <c r="C91" s="5"/>
      <c r="D91" s="5"/>
    </row>
    <row r="92" spans="3:6" x14ac:dyDescent="0.35">
      <c r="C92" s="5"/>
      <c r="D92" s="5"/>
    </row>
    <row r="93" spans="3:6" x14ac:dyDescent="0.35">
      <c r="C93" s="5"/>
      <c r="D93" s="5"/>
    </row>
    <row r="94" spans="3:6" x14ac:dyDescent="0.35">
      <c r="C94" s="5"/>
      <c r="D94" s="5"/>
    </row>
    <row r="99" spans="3:6" ht="21" x14ac:dyDescent="0.5">
      <c r="C99" s="1" t="s">
        <v>69</v>
      </c>
      <c r="D99" s="3"/>
    </row>
    <row r="100" spans="3:6" x14ac:dyDescent="0.35">
      <c r="D100" s="2" t="s">
        <v>5</v>
      </c>
    </row>
    <row r="101" spans="3:6" x14ac:dyDescent="0.35">
      <c r="D101" s="2" t="s">
        <v>6</v>
      </c>
    </row>
    <row r="102" spans="3:6" x14ac:dyDescent="0.35">
      <c r="D102" s="2" t="s">
        <v>7</v>
      </c>
    </row>
    <row r="103" spans="3:6" x14ac:dyDescent="0.35">
      <c r="D103" s="2"/>
    </row>
    <row r="104" spans="3:6" ht="15.5" x14ac:dyDescent="0.35">
      <c r="C104" s="4" t="s">
        <v>29</v>
      </c>
      <c r="D104" s="4" t="s">
        <v>3</v>
      </c>
      <c r="E104" s="4" t="s">
        <v>2</v>
      </c>
      <c r="F104" s="4" t="s">
        <v>4</v>
      </c>
    </row>
    <row r="105" spans="3:6" x14ac:dyDescent="0.35">
      <c r="C105" s="5" t="s">
        <v>70</v>
      </c>
      <c r="D105" s="3">
        <v>0</v>
      </c>
      <c r="E105" t="s">
        <v>75</v>
      </c>
      <c r="F105" t="s">
        <v>76</v>
      </c>
    </row>
    <row r="106" spans="3:6" x14ac:dyDescent="0.35">
      <c r="C106" s="5" t="s">
        <v>86</v>
      </c>
      <c r="D106" s="3">
        <v>1</v>
      </c>
      <c r="E106" t="s">
        <v>77</v>
      </c>
      <c r="F106" t="s">
        <v>78</v>
      </c>
    </row>
    <row r="107" spans="3:6" x14ac:dyDescent="0.35">
      <c r="C107" s="5" t="s">
        <v>87</v>
      </c>
      <c r="D107" s="3">
        <v>2</v>
      </c>
      <c r="E107" t="s">
        <v>79</v>
      </c>
      <c r="F107" t="s">
        <v>97</v>
      </c>
    </row>
    <row r="108" spans="3:6" x14ac:dyDescent="0.35">
      <c r="C108" s="5" t="s">
        <v>23</v>
      </c>
      <c r="D108" s="3">
        <v>3</v>
      </c>
      <c r="E108" t="s">
        <v>68</v>
      </c>
      <c r="F108" t="s">
        <v>84</v>
      </c>
    </row>
    <row r="109" spans="3:6" x14ac:dyDescent="0.35">
      <c r="C109" s="5" t="s">
        <v>71</v>
      </c>
      <c r="D109" s="3">
        <v>4</v>
      </c>
      <c r="E109" t="s">
        <v>64</v>
      </c>
      <c r="F109" t="s">
        <v>80</v>
      </c>
    </row>
    <row r="110" spans="3:6" x14ac:dyDescent="0.35">
      <c r="C110" s="5" t="s">
        <v>72</v>
      </c>
      <c r="D110" s="3">
        <v>5</v>
      </c>
      <c r="E110" t="s">
        <v>65</v>
      </c>
      <c r="F110" t="s">
        <v>81</v>
      </c>
    </row>
    <row r="111" spans="3:6" x14ac:dyDescent="0.35">
      <c r="C111" s="5" t="s">
        <v>73</v>
      </c>
      <c r="D111" s="3">
        <v>6</v>
      </c>
      <c r="E111" t="s">
        <v>66</v>
      </c>
      <c r="F111" t="s">
        <v>82</v>
      </c>
    </row>
    <row r="112" spans="3:6" x14ac:dyDescent="0.35">
      <c r="C112" s="5" t="s">
        <v>74</v>
      </c>
      <c r="D112" s="3">
        <v>7</v>
      </c>
      <c r="E112" t="s">
        <v>67</v>
      </c>
      <c r="F112" t="s">
        <v>83</v>
      </c>
    </row>
    <row r="113" spans="3:6" x14ac:dyDescent="0.35">
      <c r="D113" s="6" t="s">
        <v>40</v>
      </c>
      <c r="E113" t="s">
        <v>85</v>
      </c>
      <c r="F113" t="s">
        <v>52</v>
      </c>
    </row>
    <row r="119" spans="3:6" ht="21" x14ac:dyDescent="0.5">
      <c r="C119" s="1" t="s">
        <v>103</v>
      </c>
    </row>
    <row r="124" spans="3:6" ht="15.5" x14ac:dyDescent="0.35">
      <c r="D124" s="4" t="s">
        <v>43</v>
      </c>
      <c r="E124" s="4" t="s">
        <v>102</v>
      </c>
      <c r="F124" s="4" t="s">
        <v>107</v>
      </c>
    </row>
    <row r="125" spans="3:6" x14ac:dyDescent="0.35">
      <c r="D125" s="3">
        <v>0</v>
      </c>
      <c r="E125" t="s">
        <v>70</v>
      </c>
      <c r="F125" t="s">
        <v>121</v>
      </c>
    </row>
    <row r="126" spans="3:6" x14ac:dyDescent="0.35">
      <c r="D126" s="3">
        <v>1</v>
      </c>
      <c r="E126" t="s">
        <v>87</v>
      </c>
      <c r="F126" t="s">
        <v>122</v>
      </c>
    </row>
    <row r="127" spans="3:6" x14ac:dyDescent="0.35">
      <c r="D127" s="3">
        <v>2</v>
      </c>
      <c r="E127" t="s">
        <v>104</v>
      </c>
      <c r="F127" t="s">
        <v>108</v>
      </c>
    </row>
    <row r="128" spans="3:6" x14ac:dyDescent="0.35">
      <c r="D128" s="3">
        <v>3</v>
      </c>
      <c r="E128" t="s">
        <v>104</v>
      </c>
      <c r="F128" t="s">
        <v>109</v>
      </c>
    </row>
    <row r="129" spans="3:6" x14ac:dyDescent="0.35">
      <c r="D129" s="3">
        <v>4</v>
      </c>
      <c r="E129" t="s">
        <v>105</v>
      </c>
      <c r="F129" t="s">
        <v>112</v>
      </c>
    </row>
    <row r="130" spans="3:6" x14ac:dyDescent="0.35">
      <c r="D130" s="3">
        <v>5</v>
      </c>
      <c r="E130" t="s">
        <v>105</v>
      </c>
      <c r="F130" t="s">
        <v>112</v>
      </c>
    </row>
    <row r="131" spans="3:6" x14ac:dyDescent="0.35">
      <c r="D131" s="3">
        <v>6</v>
      </c>
      <c r="E131" t="s">
        <v>106</v>
      </c>
      <c r="F131" t="s">
        <v>110</v>
      </c>
    </row>
    <row r="132" spans="3:6" x14ac:dyDescent="0.35">
      <c r="D132" s="3">
        <v>7</v>
      </c>
      <c r="E132" t="s">
        <v>106</v>
      </c>
      <c r="F132" t="s">
        <v>110</v>
      </c>
    </row>
    <row r="133" spans="3:6" x14ac:dyDescent="0.35">
      <c r="D133" s="3">
        <v>8</v>
      </c>
      <c r="E133" t="s">
        <v>41</v>
      </c>
      <c r="F133" t="s">
        <v>111</v>
      </c>
    </row>
    <row r="134" spans="3:6" x14ac:dyDescent="0.35">
      <c r="D134" s="3">
        <v>9</v>
      </c>
      <c r="E134" t="s">
        <v>41</v>
      </c>
      <c r="F134" t="s">
        <v>111</v>
      </c>
    </row>
    <row r="136" spans="3:6" x14ac:dyDescent="0.35">
      <c r="C136"/>
    </row>
    <row r="137" spans="3:6" x14ac:dyDescent="0.35">
      <c r="C137"/>
    </row>
    <row r="138" spans="3:6" x14ac:dyDescent="0.35">
      <c r="C138"/>
    </row>
    <row r="139" spans="3:6" x14ac:dyDescent="0.35">
      <c r="C139"/>
    </row>
    <row r="140" spans="3:6" x14ac:dyDescent="0.35">
      <c r="C140"/>
    </row>
    <row r="141" spans="3:6" x14ac:dyDescent="0.35">
      <c r="C141"/>
    </row>
    <row r="142" spans="3:6" x14ac:dyDescent="0.35">
      <c r="C142"/>
    </row>
    <row r="143" spans="3:6" x14ac:dyDescent="0.35">
      <c r="C143"/>
    </row>
    <row r="144" spans="3:6" x14ac:dyDescent="0.35">
      <c r="C144"/>
    </row>
    <row r="145" spans="3:3" x14ac:dyDescent="0.35">
      <c r="C145"/>
    </row>
    <row r="146" spans="3:3" x14ac:dyDescent="0.35">
      <c r="C146"/>
    </row>
    <row r="147" spans="3:3" x14ac:dyDescent="0.35">
      <c r="C147"/>
    </row>
    <row r="148" spans="3:3" x14ac:dyDescent="0.35">
      <c r="C148"/>
    </row>
    <row r="149" spans="3:3" x14ac:dyDescent="0.35">
      <c r="C149"/>
    </row>
    <row r="150" spans="3:3" x14ac:dyDescent="0.35">
      <c r="C150"/>
    </row>
    <row r="151" spans="3:3" x14ac:dyDescent="0.35">
      <c r="C151"/>
    </row>
    <row r="152" spans="3:3" x14ac:dyDescent="0.35">
      <c r="C152"/>
    </row>
    <row r="153" spans="3:3" x14ac:dyDescent="0.35">
      <c r="C153"/>
    </row>
    <row r="154" spans="3:3" x14ac:dyDescent="0.35">
      <c r="C154"/>
    </row>
    <row r="155" spans="3:3" x14ac:dyDescent="0.35">
      <c r="C155"/>
    </row>
    <row r="156" spans="3:3" x14ac:dyDescent="0.35">
      <c r="C156"/>
    </row>
    <row r="157" spans="3:3" x14ac:dyDescent="0.35">
      <c r="C157"/>
    </row>
    <row r="158" spans="3:3" x14ac:dyDescent="0.35">
      <c r="C158"/>
    </row>
    <row r="159" spans="3:3" x14ac:dyDescent="0.35">
      <c r="C159"/>
    </row>
    <row r="160" spans="3:3" x14ac:dyDescent="0.35">
      <c r="C160"/>
    </row>
    <row r="161" spans="3:3" x14ac:dyDescent="0.35">
      <c r="C161"/>
    </row>
    <row r="162" spans="3:3" x14ac:dyDescent="0.35">
      <c r="C162"/>
    </row>
    <row r="163" spans="3:3" x14ac:dyDescent="0.35">
      <c r="C163"/>
    </row>
    <row r="164" spans="3:3" x14ac:dyDescent="0.35">
      <c r="C164"/>
    </row>
    <row r="165" spans="3:3" x14ac:dyDescent="0.35">
      <c r="C165"/>
    </row>
    <row r="166" spans="3:3" x14ac:dyDescent="0.35">
      <c r="C166"/>
    </row>
    <row r="167" spans="3:3" x14ac:dyDescent="0.35">
      <c r="C167"/>
    </row>
    <row r="168" spans="3:3" x14ac:dyDescent="0.3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2023-10-31T20:45:21Z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